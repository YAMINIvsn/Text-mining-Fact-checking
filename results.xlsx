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ads\text mining\project\Fact_checker-1\"/>
    </mc:Choice>
  </mc:AlternateContent>
  <xr:revisionPtr revIDLastSave="0" documentId="13_ncr:1_{C7DB4DD3-2C42-4081-AAF1-ADF278048FB0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Claims" sheetId="1" r:id="rId1"/>
    <sheet name="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 a="1"/>
  <c r="C4" i="2" s="1"/>
  <c r="D4" i="2" a="1"/>
  <c r="D4" i="2" s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B4" i="2" a="1"/>
  <c r="B4" i="2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C5" i="2" a="1"/>
  <c r="C5" i="2" s="1"/>
  <c r="C6" i="2" a="1"/>
  <c r="C6" i="2" s="1"/>
  <c r="B5" i="2" a="1"/>
  <c r="B5" i="2" s="1"/>
  <c r="B6" i="2" a="1"/>
  <c r="B6" i="2" s="1"/>
  <c r="D6" i="2"/>
  <c r="D5" i="2"/>
  <c r="F6" i="2" l="1"/>
  <c r="F4" i="2"/>
  <c r="B1" i="2"/>
  <c r="C10" i="2"/>
  <c r="E5" i="2"/>
  <c r="F5" i="2"/>
  <c r="E6" i="2"/>
  <c r="E4" i="2"/>
  <c r="B9" i="2"/>
  <c r="C9" i="2"/>
  <c r="C11" i="2" s="1"/>
  <c r="B10" i="2"/>
  <c r="B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<sst xmlns="http://schemas.openxmlformats.org/spreadsheetml/2006/main" count="514" uniqueCount="279">
  <si>
    <t>video_id</t>
  </si>
  <si>
    <t>claim_id</t>
  </si>
  <si>
    <t>claim_text</t>
  </si>
  <si>
    <t>category</t>
  </si>
  <si>
    <t>time</t>
  </si>
  <si>
    <t>system_verdict</t>
  </si>
  <si>
    <t>confidence</t>
  </si>
  <si>
    <t>confidence_without_nli</t>
  </si>
  <si>
    <t>nli_agreement</t>
  </si>
  <si>
    <t>nli_adjustment</t>
  </si>
  <si>
    <t>conflict_capped</t>
  </si>
  <si>
    <t>n_sources</t>
  </si>
  <si>
    <t>summary</t>
  </si>
  <si>
    <t>cited_urls</t>
  </si>
  <si>
    <t>gold_label</t>
  </si>
  <si>
    <t>correct</t>
  </si>
  <si>
    <t>Og5xAdC8EUI</t>
  </si>
  <si>
    <t>Humans eat on average between one and 2.7 kilograms of food a day.</t>
  </si>
  <si>
    <t>Health</t>
  </si>
  <si>
    <t>00:07-00:13</t>
  </si>
  <si>
    <t>TRUE</t>
  </si>
  <si>
    <t>Humans typically eat about 1–2.7 kg of food each day.</t>
  </si>
  <si>
    <t>https://www.precisionnutrition.com/what-are-your-4-lbs</t>
  </si>
  <si>
    <t>The gastrointestinal tract has an internal surface area of between 30 and 40 square meters.</t>
  </si>
  <si>
    <t>Science</t>
  </si>
  <si>
    <t>00:59-01:08</t>
  </si>
  <si>
    <t>The gut’s inner surface area is roughly 30–40 m².</t>
  </si>
  <si>
    <t>https://en.wikipedia.org/wiki/Gastrointestinal_tract
https://www.sciencedaily.com/releases/2014/04/140423111505.htm
https://www.popsci.com/article/science/human-gut-has-surface-area-studio-apartment
https://bionumbers.hms.harvard.edu/bionumber.aspx?s=n&amp;v=5&amp;id=111126
https://www.elegantexperiments.net/en/post/area-digestive-system</t>
  </si>
  <si>
    <t>Humans produce about 1.5 liters of saliva each day.</t>
  </si>
  <si>
    <t>01:47-01:52</t>
  </si>
  <si>
    <t>Humans produce roughly 1.5 L of saliva each day.</t>
  </si>
  <si>
    <t>https://en.wikipedia.org/wiki/Saliva
https://pmc.ncbi.nlm.nih.gov/articles/PMC5052503
https://my.clevelandclinic.org/health/body/saliva
https://ostrowonline.usc.edu/understanding-the-role-of-saliva</t>
  </si>
  <si>
    <t>The esophagus is a 25‑centimeter‑long tube.</t>
  </si>
  <si>
    <t>02:06-02:10</t>
  </si>
  <si>
    <t>The human esophagus is about 25 cm long.</t>
  </si>
  <si>
    <t>https://en.wikipedia.org/wiki/Esophagus
https://hypertextbook.com/facts/2001/JenniferTran.shtml
https://training.seer.cancer.gov/ugi/anatomy/esophagus.html
https://emedicine.medscape.com/article/1948973-overview
https://www.leading-medicine-guide.com/en/anatomy/esophagus</t>
  </si>
  <si>
    <t>The digestive process typically lasts between 30 and 40 hours.</t>
  </si>
  <si>
    <t>04:33-04:38</t>
  </si>
  <si>
    <t>UNVERIFIABLE</t>
  </si>
  <si>
    <t>The claim that digestion usually takes 30‑40 hours is not consistently backed by the sources.</t>
  </si>
  <si>
    <t>https://www.bodyspec.com/blog/post/normal_transit_time_for_food_and_digestion_duration_explained
https://www.ucsfhealth.org/care/medical-tests/bowel-transit-time
https://acibademinternational.com/blog/how-long-does-it-take-to-digest-food-a-journey-measured-in-hours
https://www.healthline.com/health/how-long-does-it-take-to-digest-food
https://health.clevelandclinic.org/how-long-does-it-take-to-digest-food</t>
  </si>
  <si>
    <t>bsAWFKZPntY</t>
  </si>
  <si>
    <t>Waking a sleepwalker is not dangerous.</t>
  </si>
  <si>
    <t>00:00-00:05</t>
  </si>
  <si>
    <t>https://www.bbc.com/future/article/20120208-it-is-dangerous-to-wake-a-sleepwa
https://nymetrosleep.com/blog/sleepwalking-and-sleep-health-myths-risks-and-expert-advice
https://uamshealth.com/medical-myths/is-it-dangerous-to-wake-a-sleepwalker
https://www.sleepfoundation.org/parasomnias/what-happens-if-you-wake-a-sleepwalker
https://www.baptisthealth.com/blog/health-and-wellness/how-to-safely-wake-a-sleepwalker</t>
  </si>
  <si>
    <t>Bulls are colorblind to red and charge at the movement of a matador's cape, not its color.</t>
  </si>
  <si>
    <t>00:07-00:15</t>
  </si>
  <si>
    <t>Bulls are colorblind to red and charge at a moving cape, not its color.</t>
  </si>
  <si>
    <t>https://www.westeamahead.org/blog/2025/12/11/mythbuster-do-bulls-hate-the-color-red
https://www.instagram.com/reel/DV87wgniOcu?hl=en
https://www.youtube.com/watch?v=vCFyl70n19M
https://capes.com/blogs/cape-facts/why-do-matadors-use-red-capes
https://www.livescience.com/33700-bulls-charge-red.html</t>
  </si>
  <si>
    <t>Dropping a penny from a skyscraper cannot kill someone, mainly because of air resistance.</t>
  </si>
  <si>
    <t>00:19-00:27</t>
  </si>
  <si>
    <t>A penny dropped from a skyscraper can’t kill you because air resistance limits its speed.</t>
  </si>
  <si>
    <t>https://www.scientificamerican.com/article/could-a-penny-dropped-off
https://www.wtamu.edu/~cbaird/sq/2012/12/10/how-high-does-a-building-have-to-be-for-a-penny-dropped-from-the-top-to-kill-a-person-on-the-ground
https://www.youtube.com/watch?v=16Ci_2bN_zc</t>
  </si>
  <si>
    <t>Humans did not evolve from modern monkeys; we share a common ancestor but evolved on separate branches of the evolutionary tree.</t>
  </si>
  <si>
    <t>History</t>
  </si>
  <si>
    <t>00:37-00:47</t>
  </si>
  <si>
    <t>Humans did not evolve from modern monkeys; we share a common ancestor and diverged on separate branches.</t>
  </si>
  <si>
    <t>https://friendsofdarwin.com/articles/why-still-monkeys
https://www.pbs.org/wgbh/evolution/library/faq/cat02.html
https://ncse.ngo/misconception-monday-lets-stop-monkeying-about-shall-we
https://humanorigins.si.edu/education/frequently-asked-questions</t>
  </si>
  <si>
    <t>The Earth's core is not molten lava; it is liquid metal (mostly iron and nickel) with a solid inner core.</t>
  </si>
  <si>
    <t>02:17-02:27</t>
  </si>
  <si>
    <t>The Earth's core is a liquid iron‑nickel outer core with a solid inner core, not molten lava.</t>
  </si>
  <si>
    <t>https://www.nsf.gov/news/seismologists-peer-earths-inner-core
https://en.wikipedia.org/wiki/Earth%27s_inner_core
https://pmc.ncbi.nlm.nih.gov/articles/PMC4040578
https://www.ebsco.com/research-starters/earth-and-atmospheric-sciences/outer-core
https://www.scientificamerican.com/article/earths-inner-core-may-have-an-inner-core</t>
  </si>
  <si>
    <t>QqsLTNkzvaY</t>
  </si>
  <si>
    <t>A black hole with ten times the mass of the Sun would be barely 60 km across.</t>
  </si>
  <si>
    <t>01:33-01:45</t>
  </si>
  <si>
    <t>A 10‑solar‑mass black hole would be about 60 km across.</t>
  </si>
  <si>
    <t>http://blackholes.stardate.org/objects/type-stellar-mass.html
https://www.sun.org/encyclopedia/black-hole
https://www.youtube.com/watch?v=yrQZi02LKQY
https://www.firgelliauto.com/blogs/engineering-calculators/schwarzschild-radius-calculator
https://www.omnicalculator.com/physics/schwarzschild-radius</t>
  </si>
  <si>
    <t>A black hole with the mass of our Sun has a lifetime of about 10^67 years.</t>
  </si>
  <si>
    <t>09:32-09:48</t>
  </si>
  <si>
    <t>A black‑hole the size of the Sun would evaporate in roughly 10⁶⁷ years.</t>
  </si>
  <si>
    <t>https://jila.colorado.edu/~ajsh/bh/hawk.html
https://www.youtube.com/watch?v=MJb6colKwzo
https://www.discovermagazine.com/black-holes-can-die-but-the-process-hawking-radiation-is-incredibly-slow-47996</t>
  </si>
  <si>
    <t>The most massive super‑massive black holes in galaxy centers have lifetimes of roughly 10^100 years.</t>
  </si>
  <si>
    <t>09:56-10:08</t>
  </si>
  <si>
    <t>Supermassive black holes are expected to live about 10^100 years before evaporating.</t>
  </si>
  <si>
    <t>https://en.wikipedia.org/wiki/Hawking_radiation
https://www.astronomy.com/science/the-beginning-to-the-end-of-the-universe-how-black-holes-die
https://www.discovermagazine.com/black-holes-can-die-but-the-process-hawking-radiation-is-incredibly-slow-47996
https://www.youtube.com/watch?v=MJb6colKwzo</t>
  </si>
  <si>
    <t>A black hole has only three observable properties: its mass, its spin, and its electric charge.</t>
  </si>
  <si>
    <t>06:09-06:19</t>
  </si>
  <si>
    <t>Black holes are described by only three observable properties: mass, spin, and charge.</t>
  </si>
  <si>
    <t>https://arxiv.org/html/2309.14929v2
https://en.wikipedia.org/wiki/No-hair_theorem
https://www.quantamagazine.org/in-violation-of-einstein-black-holes-might-have-hair-20210211
https://www.youtube.com/watch?v=oi4LAbTKqBI
https://heasarc.gsfc.nasa.gov/docs/objects/heapow/archive/compact_objects/spinning_bh_chandra.html</t>
  </si>
  <si>
    <t>Spaghettification is only a risk with smaller black holes because they have a much smaller radius.</t>
  </si>
  <si>
    <t>04:06-04:14</t>
  </si>
  <si>
    <t>Spaghettification is mainly a danger near small black holes, not large ones.</t>
  </si>
  <si>
    <t>https://en.wikipedia.org/wiki/Spaghettification
https://www.scienceholic.org/post/spaghettification-the-cosmic-pasta-maker
https://physics.stackexchange.com/questions/856047/why-do-people-use-this-argument-for-how-a-black-hole-would-turn-me-into-spaghett</t>
  </si>
  <si>
    <t>PSRJfaAYkW4</t>
  </si>
  <si>
    <t>There are between 4,000 and 11,000 leukocytes in every microliter of blood.</t>
  </si>
  <si>
    <t>01:08-01:17</t>
  </si>
  <si>
    <t>Normal blood contains about 4,000‑11,000 leukocytes per microliter.</t>
  </si>
  <si>
    <t>https://www.thebloodproject.com/understanding-leukocytosis
https://ada.com/white-blood-cell-count
https://news.cuanschutz.edu/news-stories/high-or-low-white-blood-cell-count-understanding-your-cbc-blood-test-results
https://www.bannerhealth.com/healthcareblog/teach-me/why-is-my-white-blood-cell-count-high</t>
  </si>
  <si>
    <t>Leukocytes originate in the bone marrow.</t>
  </si>
  <si>
    <t>00:58-01:00</t>
  </si>
  <si>
    <t>Leukocytes are produced in the bone marrow.</t>
  </si>
  <si>
    <t>https://en.wikipedia.org/wiki/White_blood_cell
https://courses.lumenlearning.com/suny-ap2/chapter/leukocytes-and-platelets
https://www.physio-pedia.com/Leukocytes
https://my.clevelandclinic.org/health/articles/24287-hematopoiesis
https://www.urmc.rochester.edu/encyclopedia/content?ContentID=35&amp;ContentTypeID=160</t>
  </si>
  <si>
    <t>A warmer body makes it harder for bacteria and viruses to reproduce and spread because they are temperature‑sensitive.</t>
  </si>
  <si>
    <t>03:16-03:24</t>
  </si>
  <si>
    <t>Warmer body temperatures can hinder the growth of many bacteria and viruses.</t>
  </si>
  <si>
    <t>https://pubmed.ncbi.nlm.nih.gov/32776651
https://www.frontiersin.org/journals/cellular-and-infection-microbiology/articles/10.3389/fcimb.2026.1866500/full
https://theconversation.com/how-does-fever-help-fight-infections-theres-more-to-it-than-even-some-scientists-realize-210240
https://www.pihealthcancerhospital.com/blog/the-connection-between-fever-and-infection-what-you-need-to-know
https://pmc.ncbi.nlm.nih.gov/articles/PMC7435572</t>
  </si>
  <si>
    <t>A healthy immune system will successfully fight off an estimated 300 colds over the course of a lifetime.</t>
  </si>
  <si>
    <t>04:44-04:54</t>
  </si>
  <si>
    <t>There's no evidence that a healthy immune system prevents exactly 300 colds in a lifetime.</t>
  </si>
  <si>
    <t>https://www.cdc.gov/common-cold/about/index.html
https://www.webmd.com/cold-and-flu/common_cold_overview
https://www.yalemedicine.org/conditions/colds
https://www.unionmillpediatrics.com/storage/app/media/frequent-colds.pdf
https://www.today.com/health/cold-flu/why-do-i-keep-getting-colds-rcna48315</t>
  </si>
  <si>
    <t>Autoimmune diseases underlie problems such as arthritis, Type I diabetes, and multiple sclerosis.</t>
  </si>
  <si>
    <t>04:31-04:42</t>
  </si>
  <si>
    <t>Yes, arthritis, Type I diabetes and multiple sclerosis are all autoimmune diseases.</t>
  </si>
  <si>
    <t>https://www.aiarthritis.org/co-existing-conditions-
https://www.hopkinsmedicine.org/health/expert-qa/autoimmune-disease-and-women
https://health.ucdavis.edu/blog/cultivating-health/6-common-types-of-arthritis-and-related-conditions-symptoms-causes-and-risk-factors/2024/04
https://pmc.ncbi.nlm.nih.gov/articles/PMC4219937
https://pro.campus.sanofi/t1d/articles/the-pathophysiology-of-autoimmune-type-1-diabetes</t>
  </si>
  <si>
    <t>rb7TVW77ZCs</t>
  </si>
  <si>
    <t>In 1796, Edward Jenner injected material from a cowpox virus into an eight‑year‑old boy.</t>
  </si>
  <si>
    <t>00:07-00:17</t>
  </si>
  <si>
    <t>Yes, Jenner gave a cowpox inoculation to an eight‑year‑old boy in 1796.</t>
  </si>
  <si>
    <t>https://www.bbc.co.uk/history/historic_figures/jenner_edward.shtml
https://en.wikipedia.org/wiki/Edward_Jenner
https://www.ebsco.com/research-starters/history/jenner-develops-smallpox-vaccination
https://pmc.ncbi.nlm.nih.gov/articles/PMC11463195</t>
  </si>
  <si>
    <t>The inoculation of the eight‑year‑old boy was the first ever vaccine.</t>
  </si>
  <si>
    <t>00:27-00:30</t>
  </si>
  <si>
    <t>Yes, that inoculation was the world’s first vaccine.</t>
  </si>
  <si>
    <t>https://www.who.int/news-room/spotlight/history-of-vaccination/a-brief-history-of-vaccination
https://en.wikipedia.org/wiki/Edward_Jenner
https://www.immunize.org/vaccines/vaccine-timeline
https://vaccination-info.europa.eu/en/about-vaccines/history-vaccination
https://biotech.law.lsu.edu/cphl/history/articles/jenner.htm</t>
  </si>
  <si>
    <t>Live attenuated vaccines are made of the pathogen itself but a much weaker and tamer version.</t>
  </si>
  <si>
    <t>02:16-02:29</t>
  </si>
  <si>
    <t>Live attenuated vaccines are made from the original pathogen that’s been weakened.</t>
  </si>
  <si>
    <t>https://www.sciencedirect.com/topics/immunology-and-microbiology/attenuated-vaccine
https://en.wikipedia.org/wiki/Attenuated_vaccine
https://www.pfizer.com/news/articles/understanding_six_types_of_vaccine_technologies
https://synapse.patsnap.com/article/what-live-attenuated-vaccine-are-being-developed
https://www.news-medical.net/health/What-is-a-Live-Attenuated-Vaccine.aspx</t>
  </si>
  <si>
    <t>Inactive (killed) vaccines don’t create long‑lasting immunity.</t>
  </si>
  <si>
    <t>02:53-03:00</t>
  </si>
  <si>
    <t>Inactivated vaccines generally do not provide long‑lasting immunity.</t>
  </si>
  <si>
    <t>https://www.cdc.gov/pinkbook/hcp/table-of-contents/chapter-1-principles-of-vaccination.html
https://synapse.patsnap.com/article/what-is-the-difference-between-live-attenuated-and-inactivated-vaccines
https://www.hhs.gov/vaccines/basics/types/index.html
https://galvdox.galvmed.org/application/files/4116/6627/9827/177_Duration_of_Immunity_of_Live_and_Inactivated_ND_Vaccines_in_SPF_Chickens_FINAL_VERSION_011221.pdf
https://www.clinicbarcelona.org/en/assistance/be-healthy/vaccine-1/when-do-vaccines-take-effect-and-what-is-the-duration</t>
  </si>
  <si>
    <t>DNA vaccines work by injecting genes that instruct cells to make the antigens, triggering an immune response.</t>
  </si>
  <si>
    <t>Technology</t>
  </si>
  <si>
    <t>03:25-03:44</t>
  </si>
  <si>
    <t>DNA vaccines work by injecting DNA that tells cells to make the antigen, which then triggers an immune response.</t>
  </si>
  <si>
    <t>https://en.wikipedia.org/wiki/DNA_vaccine
https://www.frontiersin.org/journals/immunology/articles/10.3389/fimmu.2024.1332939/full
https://pmc.ncbi.nlm.nih.gov/articles/PMC10820593
https://www.youtube.com/watch?v=H7_oL8mhtak</t>
  </si>
  <si>
    <t>iNrUpBwU3q0</t>
  </si>
  <si>
    <t>The thyroid produces the hormones thyroxine (T4) and triiodothyronine (T3).</t>
  </si>
  <si>
    <t>00:39-00:48</t>
  </si>
  <si>
    <t>The thyroid makes both T4 and T3.</t>
  </si>
  <si>
    <t>https://www.everlywell.com/blog/thyroid/t3-and-t4-hormones
https://my.clevelandclinic.org/health/articles/22391-thyroid-hormone
https://www.thyroid.org/thyroid-function-tests
https://myhealth.alberta.ca/Health/pages/conditions.aspx?hwid=ug1836
https://www.youtube.com/watch?v=hKdqqaiNqis</t>
  </si>
  <si>
    <t>The pituitary gland controls the thyroid by releasing thyroid‑stimulating hormone (TSH) when blood hormone levels are too low or too high.</t>
  </si>
  <si>
    <t>01:24-01:46</t>
  </si>
  <si>
    <t>There isn't enough verifiable evidence to support a verdict.</t>
  </si>
  <si>
    <t>https://www.sciencedirect.com/science/article/pii/S0303720721000174
https://www.healthywa.wa.gov.au/Articles/S_T/The-thyroid-gland
https://www.thyroid.org/patient-thyroid-information/ct-for-patients/vol-5-issue-9/vol-5-issue-9-p-6-7
https://exeltis.com/sumtrial/category/blog/thyroid-hormones-functions-normal-levels-and-regulation
https://www.yourhormones.info/hormones/thyroid-stimulating-hormone</t>
  </si>
  <si>
    <t>Hyperthyroidism occurs when the thyroid releases excess hormones, causing increased metabolism, faster heartbeat, constant hunger, rapid weight loss, heat intolerance, sweating, anxiety, and insomnia.</t>
  </si>
  <si>
    <t>02:02-02:32</t>
  </si>
  <si>
    <t>Hyperthyroidism does cause the listed symptoms.</t>
  </si>
  <si>
    <t>https://ethosendo.com/blog/important-cardiac-effects-of-hyperthyroidism
https://phoenixheart.com/how-high-thyroid-levels-affect-the-heart
https://my.clevelandclinic.org/health/diseases/14129-hyperthyroidism
https://www.childrenshospital.org/conditions-treatments/hyperthyroidism
https://www.youtube.com/watch?v=wGkcusHjy_c</t>
  </si>
  <si>
    <t>Hypothyroidism occurs when the thyroid releases insufficient hormones, leading to weight gain, sluggishness, cold intolerance, joint swelling, and low mood.</t>
  </si>
  <si>
    <t>02:32-02:57</t>
  </si>
  <si>
    <t>The claim is not fully verified.</t>
  </si>
  <si>
    <t>https://medicines.abbott.com/feeling-sluggish-and-cold-is-it-your-thyroid
https://www.yalemedicine.org/conditions/hypothyroidism
https://www.mdanderson.org/cancerwise/signs-of-thyroid-issues--hypothyroidism-hyperthyroidism-how-do-you-know-if-you-have-them.h00-159622590.html
https://www.health.harvard.edu/newsletter_article/the-lowdown-on-thyroid-slowdown
https://www.thyroid.org/wp-content/uploads/patients/brochures/Hypo_brochure.pdf</t>
  </si>
  <si>
    <t>Medical treatments can reactivate thyroid activity and restore a steady metabolic rate.</t>
  </si>
  <si>
    <t>02:57-03:05</t>
  </si>
  <si>
    <t>Treatments can normalize thyroid hormone levels but don’t reactivate the gland itself.</t>
  </si>
  <si>
    <t>https://www.mayoclinic.org/diseases-conditions/hypothyroidism/diagnosis-treatment/drc-20350289
https://my.clevelandclinic.org/health/diseases/12120-hypothyroidism
https://www.hopkinslupus.org/lupus-treatment/common-medications-conditions/thyroid-medications
https://www.everlywell.com/blog/blood-test/thyroid-stimulating-hormone
https://www.aafp.org/afp/2021/0515/p605</t>
  </si>
  <si>
    <t>yxonJTWhBJQ</t>
  </si>
  <si>
    <t>Rhinovirus is responsible for up to half of all cases of the common cold.</t>
  </si>
  <si>
    <t>01:36-01:48</t>
  </si>
  <si>
    <t>Rhinovirus causes about half of common colds.</t>
  </si>
  <si>
    <t>https://my.clevelandclinic.org/health/diseases/12342-common-cold
https://www.biomerieux.com/us/en/blog/diagnostic-digest/human-rhinovirus.html
https://www.youtube.com/watch?v=UW06euRm09Q
https://pmc.ncbi.nlm.nih.gov/articles/PMC7112468
https://www.merckmanuals.com/professional/infectious-diseases/respiratory-viruses/common-cold</t>
  </si>
  <si>
    <t>The trade‑off hypothesis was first developed in the early 1980s.</t>
  </si>
  <si>
    <t>03:11-03:12</t>
  </si>
  <si>
    <t>No evidence that the trade‑off hypothesis originated in the early 1980s.</t>
  </si>
  <si>
    <t>The malaria parasite Plasmodium is transmitted to humans by mosquito bites.</t>
  </si>
  <si>
    <t>03:50-03:58</t>
  </si>
  <si>
    <t>True – Plasmodium is spread to people by mosquito bites.</t>
  </si>
  <si>
    <t>https://en.wikipedia.org/wiki/Malaria
https://www.frontiersin.org/journals/malaria/articles/10.3389/fmala.2025.1600850/full
https://www.mayoclinic.org/diseases-conditions/malaria/symptoms-causes/syc-20351184
https://pmc.ncbi.nlm.nih.gov/articles/PMC5891056
https://healthclinics.superdrug.com/is-malaria-contagious</t>
  </si>
  <si>
    <t>Evolutionary biologist Paul Ewald has suggested that simple disease‑control measures can steer the evolution of pathogens toward less harmful forms.</t>
  </si>
  <si>
    <t>04:16-04:24</t>
  </si>
  <si>
    <t>True – Ewald has argued that interventions can push pathogens to become less harmful.</t>
  </si>
  <si>
    <t>https://www.sciencedirect.com/science/article/abs/pii/S1567134808001809
https://en.wikipedia.org/wiki/Evolution_of_Infectious_Disease
https://profiles.louisville.edu/pw.ewald/publications
https://www.pbs.org/wgbh/evolution/library/01/6/text_pop/l_016_06.html
https://math.uchicago.edu/~shmuel/Modeling/Evolution%20of%20virulence.pdf</t>
  </si>
  <si>
    <t>The common cold is generally mild and typically lasts about one week.</t>
  </si>
  <si>
    <t>03:38-03:46</t>
  </si>
  <si>
    <t>The claim is true: a common cold is usually mild and lasts about a week.</t>
  </si>
  <si>
    <t>https://www.aarp.org/health/conditions-treatments/how-long-does-a-cold-last
https://www.everydayhealth.com/cold-flu/treatment/your-day-to-day-guide-to-the-common-cold
https://www.healthline.com/health/life-cycle-of-the-common-cold
https://www.goodrx.com/conditions/cold-symptoms/common-cold-stages-timeline
https://www.christushealth.org/connect/your-health/infectious-diseases/stages-of-the-common-cold</t>
  </si>
  <si>
    <t>vHhn7z6BA0w</t>
  </si>
  <si>
    <t>The average man can throw a ball farther than about 98 percent of all women.</t>
  </si>
  <si>
    <t>01:04-01:11</t>
  </si>
  <si>
    <t>We can’t verify that men out‑throw 98 % of women.</t>
  </si>
  <si>
    <t>https://pmc.ncbi.nlm.nih.gov/articles/PMC6657012
https://www.reddit.com/r/explainlikeimfive/comments/28hmk4/eli5_why_do_males_and_females_typically_throw
https://www.worldpulse.org/story/girls-can-throw-and-girls-do-throw-better-than-boys-boys-however-refuse-to-admit-it-69626</t>
  </si>
  <si>
    <t>On average, women outperform about 33 percent of men in spatial awareness tasks such as map reading.</t>
  </si>
  <si>
    <t>01:26-01:34</t>
  </si>
  <si>
    <t>FALSE</t>
  </si>
  <si>
    <t>Women do not outperform 33 % of men on spatial tasks.</t>
  </si>
  <si>
    <t>https://pmc.ncbi.nlm.nih.gov/articles/PMC6591491
https://news.emory.edu/stories/2019/04/gender-gap-spatial-reasoning-starts-elementary-school-meta-analysis-finds
https://www.reddit.com/r/psychology/comments/bcd3o1/on_average_men_outperform_women_on_a_spatial</t>
  </si>
  <si>
    <t>Rorschach inkblot tests have essentially no validity for diagnosing personality and are not used by modern psychologists.</t>
  </si>
  <si>
    <t>The claim is false; Rorschach tests still have modest validity and are still used by many psychologists.</t>
  </si>
  <si>
    <t>https://en.wikipedia.org/wiki/Rorschach_test
https://pmc.ncbi.nlm.nih.gov/articles/PMC9225754
https://assets.noviams.com/novi-file-uploads/spa/PDFs___Documents/Articles_of_Interest/SPA__2005__JPA__Status_of_the_Rorschach1-983dc724.pdf
https://www.ebsco.com/research-starters/health-and-medicine/rorschach-test
https://www.bps.org.uk/psychologist/rorschach-test-100</t>
  </si>
  <si>
    <t>Learning styles are a myth and are not supported by scientific evidence.</t>
  </si>
  <si>
    <t>04:25-04:29</t>
  </si>
  <si>
    <t>The claim is true; scientific research finds no evidence that learning styles improve learning.</t>
  </si>
  <si>
    <t>https://en.wikipedia.org/wiki/Learning_styles
https://career.ucsf.edu/sites/g/files/tkssra15591/files/Article%20UCSF%20SEJC%20January%202017.pdf
https://poorvucenter.yale.edu/teaching/teaching-resource-library/learning-styles-as-a-myth</t>
  </si>
  <si>
    <t>A University College London study found that 58 percent of the variation in GCSE results is due to genetic factors.</t>
  </si>
  <si>
    <t>05:27-05:37</t>
  </si>
  <si>
    <t>The claim is true: a UCL study reported that genetics explain about 58 % of GCSE score variation.</t>
  </si>
  <si>
    <t>https://www.psychologicalscience.org/news/genes-affect-gcse-results-but-your-school-can-change-how-much-they-matter.html
https://pmc.ncbi.nlm.nih.gov/articles/PMC3859476
https://www.kcl.ac.uk/archive/news/ioppn/records/2013/december/differences-in-students-gcse-scores-owe-more-to-genetics-than-environment</t>
  </si>
  <si>
    <t>Accuracy (labelled claims)</t>
  </si>
  <si>
    <t>Class</t>
  </si>
  <si>
    <t>Predicted</t>
  </si>
  <si>
    <t>Gold</t>
  </si>
  <si>
    <t>TP</t>
  </si>
  <si>
    <t>Precision</t>
  </si>
  <si>
    <t>Recall</t>
  </si>
  <si>
    <t>Mean confidence</t>
  </si>
  <si>
    <t>With NLI</t>
  </si>
  <si>
    <t>Without NLI</t>
  </si>
  <si>
    <t>Correct verdicts</t>
  </si>
  <si>
    <t>Incorrect verdicts</t>
  </si>
  <si>
    <t>Gap (correct - incorrect)</t>
  </si>
  <si>
    <t>synthetic</t>
  </si>
  <si>
    <t>The human esophagus is about 60 centimeters long.</t>
  </si>
  <si>
    <t>00:00-00:00</t>
  </si>
  <si>
    <t>False – the human esophagus is about 25 cm long, not 60 cm.</t>
  </si>
  <si>
    <t>https://en.wikipedia.org/wiki/Esophagus
https://hypertextbook.com/facts/2001/JenniferTran.shtml
https://www.leading-medicine-guide.com/en/anatomy/esophagus
https://emedicine.medscape.com/article/1948973-overview</t>
  </si>
  <si>
    <t>Edward Jenner gave the first smallpox vaccine in 1850.</t>
  </si>
  <si>
    <t>False – Jenner introduced the smallpox vaccine in the late 1700s, not in 1850.</t>
  </si>
  <si>
    <t>https://en.wikipedia.org/wiki/Edward_Jenner
https://www.ebsco.com/research-starters/history/jenner-develops-smallpox-vaccination
https://www.mayoclinic.org/diseases-conditions/history-disease-outbreaks-vaccine-timeline/smallpox
https://www.frontiersin.org/journals/immunology/articles/10.3389/fimmu.2011.00021/full
https://www.mcgill.ca/oss/article/medical-critical-thinking-history/white-lie-heart-vaccine-history</t>
  </si>
  <si>
    <t>The human heart has six chambers.</t>
  </si>
  <si>
    <t>The human heart does not normally have six chambers.</t>
  </si>
  <si>
    <t>https://www.hri.org.au/health/learn/your-body/the-human-heart
https://my.clevelandclinic.org/health/body/23074-heart-chambers
https://www.mayoclinic.org/diseases-conditions/aortic-valve-disease/multimedia/chambers-and-valves-of-the-heart/img-20007497
https://www.tiktok.com/@instituteofhumananatomy/video/7579019033773608222?lang=en
https://pmc.ncbi.nlm.nih.gov/articles/PMC7733639</t>
  </si>
  <si>
    <t>The Great Wall of China is visible to the naked eye from the Moon.</t>
  </si>
  <si>
    <t>The Great Wall cannot be seen with the naked eye from the Moon.</t>
  </si>
  <si>
    <t>https://www.britannica.com/question/Can-you-see-the-Great-Wall-of-China-from-space
https://www.skyatnightmagazine.com/space-science/can-you-see-great-wall-china-from-space
https://www.youtube.com/watch?v=itvHEk-RwCI&amp;vl=en-US
https://www.instagram.com/reel/DY6Z-aHjSPM?hl=en
https://www.wtamu.edu/~cbaird/sq/2012/12/11/what-makes-the-great-wall-of-china-the-only-man-made-object-visible-from-space</t>
  </si>
  <si>
    <t>Lightning never strikes the same place twice.</t>
  </si>
  <si>
    <t>The claim is false: lightning can and does strike the same place more than once.</t>
  </si>
  <si>
    <t>https://www.britannica.com/story/can-lightning-strike-the-same-place-twice
https://www.westeamahead.org/blog/2025/2/5/mythbuster-lightning-never-strikes-the-same-place-twice
https://www.cambridge.org/core/books/fundamentals-of-lightning/is-it-true-that-lightning-never-strikes-the-same-place-twice/4A7060F55C37E1465EC837BD5C6C9F84
https://www.iii.org/article/lightning-safety-10-myths-and-the-facts
https://lpsfr.com/en/blog-lightning-never-strikes-twice</t>
  </si>
  <si>
    <t>Humans use only 10 percent of their brains.</t>
  </si>
  <si>
    <t>No, humans use far more than just 10 % of their brains.</t>
  </si>
  <si>
    <t>https://www.britannica.com/story/do-we-really-use-only-10-percent-of-our-brain
https://mcgovern.mit.edu/2024/01/26/do-we-use-only-10-percent-of-our-brain
https://www.scientificamerican.com/article/do-people-only-use-10-percent-of-their-brains
https://uamshealth.com/medical-myths/do-people-only-use-10-percent-of-our-brains
https://www.psychologicalscience.org/uncategorized/myth-we-only-use-10-of-our-brains.html</t>
  </si>
  <si>
    <t>The Sun orbits the Earth once a year.</t>
  </si>
  <si>
    <t>No, the Sun does not orbit the Earth; the Earth orbits the Sun each year.</t>
  </si>
  <si>
    <t>https://en.wikipedia.org/wiki/Earth%27s_orbit
https://kidseclipse.com/sun-earth-moon-move
https://harpercollege.pressbooks.pub/cosmictime/chapter/9-does-the-earth-orbit-the-sun-once-a-year</t>
  </si>
  <si>
    <t>Vaccines cause autism.</t>
  </si>
  <si>
    <t>Vaccines do not cause autism.</t>
  </si>
  <si>
    <t>https://www.factcheck.org/2025/11/revised-cdc-website-about-autism-and-vaccines-is-not-evidence-based
https://www.autismspeaks.org/do-vaccines-cause-autism
https://media.chop.edu/data/files/pdfs/vaccine-education-center-autism.pdf
https://www.vaccinesafety.edu/do-vaccines-cause-autism
https://www.aap.org/en/news-room/fact-checked/fact-checked-vaccines-safe-and-effect-no-link-to-autism</t>
  </si>
  <si>
    <t>Water boils at 50 degrees Celsius at sea level.</t>
  </si>
  <si>
    <t>Water does not boil at 50 °C at sea level; it boils at about 100 °C.</t>
  </si>
  <si>
    <t>https://en.wikipedia.org/wiki/Boiling_point
https://www.ebsco.com/research-starters/science/boiling-points
https://www.compoundchem.com/2016/03/22/boiling-point
https://www.pewresearch.org/short-reads/2015/09/14/does-waters-boiling-point-change-with-altitude-americans-arent-sure</t>
  </si>
  <si>
    <t>The Earth is only about 6,000 years old.</t>
  </si>
  <si>
    <t>The claim that Earth is only about 6,000 years old cannot be confirmed from these sources.</t>
  </si>
  <si>
    <t>https://en.wikipedia.org/wiki/Young_Earth_creationism
https://sites.nd.edu/james-applewhite/2020/03/22/age-of-our-earth
https://answersingenesis.org/evidence-for-creation/six-evidences-of-young-earth
https://peacefulscience.org/prints/origns-yec</t>
  </si>
  <si>
    <t>Mount Everest is located in Brazil.</t>
  </si>
  <si>
    <t>General</t>
  </si>
  <si>
    <t>Mount Everest is not in Brazil.</t>
  </si>
  <si>
    <t>https://www.britannica.com/place/Mount-Everest
https://highlandexpeditions.com/where-is-mount-everest-located
https://indexadventure.com/blog/where-is-mount-everest-located</t>
  </si>
  <si>
    <t>Antibiotics are effective against viral infections such as the common cold.</t>
  </si>
  <si>
    <t>Antibiotics do not work against viral infections like the common cold.</t>
  </si>
  <si>
    <t>https://health.mountsinai.org/blog/are-antibiotics-necessary-for-common-cold-2
https://www.urmc.rochester.edu/news/publications/health-matters/%E2%80%98tis-the-season-colds-flu-and-superbugs
https://www.youtube.com/watch?v=652eiZmrXz4
https://www.upmc.com/healthbeat/respiratory-illness/virus-bacteria-cold-cause
https://www.mayoclinichealthsystem.org/hometown-health/speaking-of-health/3-reasons-why-you-did-not-receive-antibiotics-from-your-provider</t>
  </si>
  <si>
    <t>An adult human has 306 bones.</t>
  </si>
  <si>
    <t>Adults do not have 306 bones; they typically have about 206.</t>
  </si>
  <si>
    <t>https://www.livescience.com/health/how-common-is-it-to-have-extra-bones-in-your-skeleton
https://www.sciencefocus.com/the-human-body/how-many-bones-do-people-have
https://www.instagram.com/reel/DJE-jvjtPwr?hl=en
https://theconversation.com/six-fun-facts-about-the-human-skeleton-123711
https://acibademinternational.com/blog/how-many-bones-in-the-human-body-a-skeletons-inventory</t>
  </si>
  <si>
    <t>The Pacific Ocean is the smallest ocean on Earth.</t>
  </si>
  <si>
    <t>The Pacific Ocean is not the smallest; it is the largest ocean.</t>
  </si>
  <si>
    <t>https://en.wikipedia.org/wiki/Pacific_Ocean
https://www.worldatlas.com/oceans/pacific-ocean.html
https://www.newworldencyclopedia.org/entry/Pacific_Ocean
https://www.bluereefaquarium.co.uk/portsmouth/blog/education/what-is-the-smallest-ocean-in-the-world
https://www.nationalgeographic.com/environment/article/pacific-ocean</t>
  </si>
  <si>
    <t>Vitamin C cures cancer.</t>
  </si>
  <si>
    <t>Vitamin C does not cure cancer.</t>
  </si>
  <si>
    <t>https://www.mayoclinic.org/diseases-conditions/cancer/expert-answers/alternative-cancer-treatment/faq-20057968
https://pmc.ncbi.nlm.nih.gov/articles/PMC9231292
https://blog.dana-farber.org/insight/2025/04/vitamin-c-triggers-cancer-immune-response
https://sunridgemedical.com/high-dose-vitamin-c-for-cancer
https://medicineiowa.org/spring-2025/c-believe</t>
  </si>
  <si>
    <t>Coffee is bad for your health.</t>
  </si>
  <si>
    <t>Coffee is not bad for your health.</t>
  </si>
  <si>
    <t>https://utswmed.org/medblog/is-coffee-good-for-you
https://www.mayoclinic.org/healthy-lifestyle/nutrition-and-healthy-eating/expert-answers/coffee-and-health/faq-20058339
https://pmc.ncbi.nlm.nih.gov/articles/PMC12348139
https://www.heartandstroke.ca/articles/myths-and-truths-about-coffee
https://www.ramsayhealth.co.uk/blog/lifestyle/drinking-coffee---the-good-the-bad-and-the-ugly</t>
  </si>
  <si>
    <t>Eating eggs causes heart disease.</t>
  </si>
  <si>
    <t>Eggs do not cause heart disease.</t>
  </si>
  <si>
    <t>https://www.mayoclinic.org/diseases-conditions/high-blood-cholesterol/expert-answers/cholesterol/faq-20058468
https://health.clevelandclinic.org/how-many-eggs-can-you-eat-on-a-heart-healthy-diet
https://www.bhf.org.uk/informationsupport/heart-matters-magazine/news/behind-the-headlines/eggs-and-heart-disease
https://im-health.com/the-truth-about-eggs-debunking-the-myths-and-understanding-the-facts
https://www.pharmacytimes.com/view/fun-fact-researchers-crack-the-myth-of-high-cholesterol-and-eggs</t>
  </si>
  <si>
    <t>Organic food is healthier than conventional food.</t>
  </si>
  <si>
    <t>Evidence does not show that organic food is definitively healthier than conventional food.</t>
  </si>
  <si>
    <t>https://pmc.ncbi.nlm.nih.gov/articles/PMC10987935
https://www.mayoclinic.org/healthy-lifestyle/nutrition-and-healthy-eating/in-depth/organic-food/art-20043880
https://www.catholichealthli.org/blog/organic-food-really-better-you
https://geneticliteracyproject.org/gmo-faq/are-organic-foods-healthier-than-conventional-foods</t>
  </si>
  <si>
    <t>Red wine is good for your heart.</t>
  </si>
  <si>
    <t>Research does not confirm that red wine is good for heart health.</t>
  </si>
  <si>
    <t>https://www.heart.org/en/news/2019/05/24/drinking-red-wine-for-heart-health-read-this-before-you-toast
https://www.mayoclinic.org/diseases-conditions/heart-disease/in-depth/red-wine/art-20048281
https://www.massgeneralbrigham.org/en/health-wellness/red-wine-good-for-heart
https://www.health.harvard.edu/blog/is-red-wine-good-actually-for-your-heart-2018021913285</t>
  </si>
  <si>
    <t>Cell phones cause brain cancer.</t>
  </si>
  <si>
    <t>Cell phones do not cause brain cancer.</t>
  </si>
  <si>
    <t>https://blog.dana-farber.org/insight/2026/03/cellphones-cause-cancer
https://www.cancer.gov/about-cancer/causes-prevention/risk/radiation/cell-phones-fact-sheet
https://hsph.harvard.edu/news/cell-phones-dont-cause-brain-cancer-study
https://www.cancer.org/cancer/risk-prevention/radiation-exposure/cellular-phones.html</t>
  </si>
  <si>
    <t>Artificial sweeteners cause cancer in humans.</t>
  </si>
  <si>
    <t>Artificial sweeteners do not cause cancer in humans.</t>
  </si>
  <si>
    <t>https://www.cancer.gov/about-cancer/causes-prevention/risk/diet/artificial-sweeteners-fact-sheet
https://pmc.ncbi.nlm.nih.gov/articles/PMC8946744
https://www.cancerresearchuk.org/about-cancer/causes-of-cancer/cancer-myths-questions/do-artificial-sweeteners-cause-cancer
https://oncodaily.com/oncolibrary/artificial-sweeteners-cause-cancer
https://www.goodrx.com/well-being/diet-nutrition/artificial-sweeteners-saccharin-aspartame-and-cancer</t>
  </si>
  <si>
    <t>Playing video games makes children more violent.</t>
  </si>
  <si>
    <t>Evidence on video games making children more violent is mixed and not definitive.</t>
  </si>
  <si>
    <t>https://en.wikipedia.org/wiki/Violence_and_video_games
https://www.oneworldeducation.org/our-students-writing/violent-video-games
https://yvpc.sph.umich.edu/video-games-influence-violent-behavior
https://magazine.wsu.edu/web-extra/the-evidence-that-video-game-violence-leads-to-real-world-aggression
https://www.health.harvard.edu/newsletter_article/violent-video-games-and-young-people.</t>
  </si>
  <si>
    <t>Humans will colonize Mars by 2040.</t>
  </si>
  <si>
    <t>We can't confirm humans will colonize Mars by 2040.</t>
  </si>
  <si>
    <t>https://en.wikipedia.org/wiki/Colonization_of_Mars
https://www.truthdig.com/articles/humans-will-never-colonize-mars-and-musk-knows-it
https://pmc.ncbi.nlm.nih.gov/articles/PMC6383964</t>
  </si>
  <si>
    <t>Daily multivitamins improve the health of healthy adults.</t>
  </si>
  <si>
    <t>Evidence is mixed on whether daily multivitamins improve health in healthy adults.</t>
  </si>
  <si>
    <t>https://lpi.oregonstate.edu/research-insider/multivitamin-health-benefits
https://ods.od.nih.gov/factsheets/MVMS-HealthProfessional
https://pmc.ncbi.nlm.nih.gov/articles/PMC12921372
https://www.osfhealthcare.org/blog/do-multivitamins-work-and-should-you-take-them</t>
  </si>
  <si>
    <t>Fasting is the best way to lose weight.</t>
  </si>
  <si>
    <t>Fasting is not the best way to lose weight.</t>
  </si>
  <si>
    <t>https://dietitiansaustralia.org.au/health-advice/intermittent-fasting
https://www.mayoclinichealthsystem.org/hometown-health/speaking-of-health/intermittent-fasting-fad-or-solution
https://siuh.northwell.edu/surgery/bariatric-surgery/articles/steps-intermittent-fasting
https://pmc.ncbi.nlm.nih.gov/articles/PMC11241639
https://www.cochrane.org/about-us/news/evidence-behind-intermittent-fasting-weight-loss-fails-match-hype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</si>
</sst>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opLeftCell="F30" workbookViewId="0">
      <selection activeCell="A42" sqref="A42:P66"/>
    </sheetView>
  </sheetViews>
  <sheetFormatPr defaultRowHeight="14.5" x14ac:dyDescent="0.35"/>
  <cols>
    <col min="3" max="3" width="60" customWidth="1"/>
    <col min="6" max="6" width="17.08984375" customWidth="1"/>
    <col min="7" max="7" width="16.1796875" customWidth="1"/>
    <col min="9" max="9" width="14.6328125" customWidth="1"/>
    <col min="13" max="13" width="50" customWidth="1"/>
    <col min="14" max="14" width="40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0.6</v>
      </c>
      <c r="H2">
        <v>0.56200000000000006</v>
      </c>
      <c r="I2">
        <v>0.47299999999999998</v>
      </c>
      <c r="J2">
        <v>3.78E-2</v>
      </c>
      <c r="K2" t="b">
        <v>0</v>
      </c>
      <c r="L2">
        <v>5</v>
      </c>
      <c r="M2" t="s">
        <v>21</v>
      </c>
      <c r="N2" t="s">
        <v>22</v>
      </c>
      <c r="O2" t="b">
        <v>1</v>
      </c>
      <c r="P2">
        <f>IF(O2="","",IF(O2&amp;""=F2&amp;"",1,0))</f>
        <v>1</v>
      </c>
    </row>
    <row r="3" spans="1:16" x14ac:dyDescent="0.35">
      <c r="A3" t="s">
        <v>16</v>
      </c>
      <c r="B3">
        <v>2</v>
      </c>
      <c r="C3" t="s">
        <v>23</v>
      </c>
      <c r="D3" t="s">
        <v>24</v>
      </c>
      <c r="E3" t="s">
        <v>25</v>
      </c>
      <c r="F3" t="s">
        <v>20</v>
      </c>
      <c r="G3">
        <v>0.90100000000000002</v>
      </c>
      <c r="H3">
        <v>0.82299999999999995</v>
      </c>
      <c r="I3">
        <v>0.98099999999999998</v>
      </c>
      <c r="J3">
        <v>7.85E-2</v>
      </c>
      <c r="K3" t="b">
        <v>0</v>
      </c>
      <c r="L3">
        <v>5</v>
      </c>
      <c r="M3" t="s">
        <v>26</v>
      </c>
      <c r="N3" t="s">
        <v>27</v>
      </c>
      <c r="O3" t="b">
        <v>1</v>
      </c>
      <c r="P3">
        <f t="shared" ref="P3:P66" si="0">IF(O3="","",IF(O3&amp;""=F3&amp;"",1,0))</f>
        <v>1</v>
      </c>
    </row>
    <row r="4" spans="1:16" x14ac:dyDescent="0.35">
      <c r="A4" t="s">
        <v>16</v>
      </c>
      <c r="B4">
        <v>3</v>
      </c>
      <c r="C4" t="s">
        <v>28</v>
      </c>
      <c r="D4" t="s">
        <v>18</v>
      </c>
      <c r="E4" t="s">
        <v>29</v>
      </c>
      <c r="F4" t="s">
        <v>20</v>
      </c>
      <c r="G4">
        <v>0.53700000000000003</v>
      </c>
      <c r="H4">
        <v>0.51</v>
      </c>
      <c r="I4">
        <v>0.33800000000000002</v>
      </c>
      <c r="J4">
        <v>2.7E-2</v>
      </c>
      <c r="K4" t="b">
        <v>1</v>
      </c>
      <c r="L4">
        <v>4</v>
      </c>
      <c r="M4" t="s">
        <v>30</v>
      </c>
      <c r="N4" t="s">
        <v>31</v>
      </c>
      <c r="O4" t="b">
        <v>1</v>
      </c>
      <c r="P4">
        <f t="shared" si="0"/>
        <v>1</v>
      </c>
    </row>
    <row r="5" spans="1:16" x14ac:dyDescent="0.35">
      <c r="A5" t="s">
        <v>16</v>
      </c>
      <c r="B5">
        <v>4</v>
      </c>
      <c r="C5" t="s">
        <v>32</v>
      </c>
      <c r="D5" t="s">
        <v>24</v>
      </c>
      <c r="E5" t="s">
        <v>33</v>
      </c>
      <c r="F5" t="s">
        <v>20</v>
      </c>
      <c r="G5">
        <v>0.79100000000000004</v>
      </c>
      <c r="H5">
        <v>0.76500000000000001</v>
      </c>
      <c r="I5">
        <v>0.32500000000000001</v>
      </c>
      <c r="J5">
        <v>2.5999999999999999E-2</v>
      </c>
      <c r="K5" t="b">
        <v>0</v>
      </c>
      <c r="L5">
        <v>5</v>
      </c>
      <c r="M5" t="s">
        <v>34</v>
      </c>
      <c r="N5" t="s">
        <v>35</v>
      </c>
      <c r="O5" t="b">
        <v>1</v>
      </c>
      <c r="P5">
        <f t="shared" si="0"/>
        <v>1</v>
      </c>
    </row>
    <row r="6" spans="1:16" x14ac:dyDescent="0.35">
      <c r="A6" t="s">
        <v>16</v>
      </c>
      <c r="B6">
        <v>5</v>
      </c>
      <c r="C6" t="s">
        <v>36</v>
      </c>
      <c r="D6" t="s">
        <v>18</v>
      </c>
      <c r="E6" t="s">
        <v>37</v>
      </c>
      <c r="F6" t="s">
        <v>38</v>
      </c>
      <c r="G6">
        <v>0</v>
      </c>
      <c r="H6">
        <v>0</v>
      </c>
      <c r="L6">
        <v>5</v>
      </c>
      <c r="M6" t="s">
        <v>39</v>
      </c>
      <c r="N6" t="s">
        <v>40</v>
      </c>
      <c r="O6" t="b">
        <v>1</v>
      </c>
      <c r="P6">
        <f t="shared" si="0"/>
        <v>0</v>
      </c>
    </row>
    <row r="7" spans="1:16" x14ac:dyDescent="0.35">
      <c r="A7" t="s">
        <v>41</v>
      </c>
      <c r="B7">
        <v>1</v>
      </c>
      <c r="C7" t="s">
        <v>42</v>
      </c>
      <c r="D7" t="s">
        <v>18</v>
      </c>
      <c r="E7" t="s">
        <v>43</v>
      </c>
      <c r="F7" t="s">
        <v>20</v>
      </c>
      <c r="G7">
        <v>0.86499999999999999</v>
      </c>
      <c r="H7">
        <v>0.83299999999999996</v>
      </c>
      <c r="I7">
        <v>0.40699999999999997</v>
      </c>
      <c r="J7">
        <v>3.2599999999999997E-2</v>
      </c>
      <c r="K7" t="b">
        <v>0</v>
      </c>
      <c r="L7">
        <v>5</v>
      </c>
      <c r="M7" t="s">
        <v>42</v>
      </c>
      <c r="N7" t="s">
        <v>44</v>
      </c>
      <c r="O7" t="b">
        <v>1</v>
      </c>
      <c r="P7">
        <f t="shared" si="0"/>
        <v>1</v>
      </c>
    </row>
    <row r="8" spans="1:16" x14ac:dyDescent="0.35">
      <c r="A8" t="s">
        <v>41</v>
      </c>
      <c r="B8">
        <v>2</v>
      </c>
      <c r="C8" t="s">
        <v>45</v>
      </c>
      <c r="D8" t="s">
        <v>24</v>
      </c>
      <c r="E8" t="s">
        <v>46</v>
      </c>
      <c r="F8" t="s">
        <v>20</v>
      </c>
      <c r="G8">
        <v>0.85199999999999998</v>
      </c>
      <c r="H8">
        <v>0.81200000000000006</v>
      </c>
      <c r="I8">
        <v>0.496</v>
      </c>
      <c r="J8">
        <v>3.9699999999999999E-2</v>
      </c>
      <c r="K8" t="b">
        <v>0</v>
      </c>
      <c r="L8">
        <v>5</v>
      </c>
      <c r="M8" t="s">
        <v>47</v>
      </c>
      <c r="N8" t="s">
        <v>48</v>
      </c>
      <c r="O8" t="b">
        <v>1</v>
      </c>
      <c r="P8">
        <f t="shared" si="0"/>
        <v>1</v>
      </c>
    </row>
    <row r="9" spans="1:16" x14ac:dyDescent="0.35">
      <c r="A9" t="s">
        <v>41</v>
      </c>
      <c r="B9">
        <v>3</v>
      </c>
      <c r="C9" t="s">
        <v>49</v>
      </c>
      <c r="D9" t="s">
        <v>24</v>
      </c>
      <c r="E9" t="s">
        <v>50</v>
      </c>
      <c r="F9" t="s">
        <v>20</v>
      </c>
      <c r="G9">
        <v>0.85099999999999998</v>
      </c>
      <c r="H9">
        <v>0.81200000000000006</v>
      </c>
      <c r="I9">
        <v>0.48</v>
      </c>
      <c r="J9">
        <v>3.8399999999999997E-2</v>
      </c>
      <c r="K9" t="b">
        <v>0</v>
      </c>
      <c r="L9">
        <v>4</v>
      </c>
      <c r="M9" t="s">
        <v>51</v>
      </c>
      <c r="N9" t="s">
        <v>52</v>
      </c>
      <c r="O9" t="b">
        <v>1</v>
      </c>
      <c r="P9">
        <f t="shared" si="0"/>
        <v>1</v>
      </c>
    </row>
    <row r="10" spans="1:16" x14ac:dyDescent="0.35">
      <c r="A10" t="s">
        <v>41</v>
      </c>
      <c r="B10">
        <v>4</v>
      </c>
      <c r="C10" t="s">
        <v>53</v>
      </c>
      <c r="D10" t="s">
        <v>54</v>
      </c>
      <c r="E10" t="s">
        <v>55</v>
      </c>
      <c r="F10" t="s">
        <v>20</v>
      </c>
      <c r="G10">
        <v>0.82699999999999996</v>
      </c>
      <c r="H10">
        <v>0.81200000000000006</v>
      </c>
      <c r="I10">
        <v>0.187</v>
      </c>
      <c r="J10">
        <v>1.4999999999999999E-2</v>
      </c>
      <c r="K10" t="b">
        <v>0</v>
      </c>
      <c r="L10">
        <v>5</v>
      </c>
      <c r="M10" t="s">
        <v>56</v>
      </c>
      <c r="N10" t="s">
        <v>57</v>
      </c>
      <c r="O10" t="b">
        <v>1</v>
      </c>
      <c r="P10">
        <f t="shared" si="0"/>
        <v>1</v>
      </c>
    </row>
    <row r="11" spans="1:16" x14ac:dyDescent="0.35">
      <c r="A11" t="s">
        <v>41</v>
      </c>
      <c r="B11">
        <v>5</v>
      </c>
      <c r="C11" t="s">
        <v>58</v>
      </c>
      <c r="D11" t="s">
        <v>24</v>
      </c>
      <c r="E11" t="s">
        <v>59</v>
      </c>
      <c r="F11" t="s">
        <v>20</v>
      </c>
      <c r="G11">
        <v>0.83699999999999997</v>
      </c>
      <c r="H11">
        <v>0.76700000000000002</v>
      </c>
      <c r="I11">
        <v>0.88300000000000001</v>
      </c>
      <c r="J11">
        <v>7.0699999999999999E-2</v>
      </c>
      <c r="K11" t="b">
        <v>0</v>
      </c>
      <c r="L11">
        <v>5</v>
      </c>
      <c r="M11" t="s">
        <v>60</v>
      </c>
      <c r="N11" t="s">
        <v>61</v>
      </c>
      <c r="O11" t="b">
        <v>1</v>
      </c>
      <c r="P11">
        <f t="shared" si="0"/>
        <v>1</v>
      </c>
    </row>
    <row r="12" spans="1:16" x14ac:dyDescent="0.35">
      <c r="A12" t="s">
        <v>62</v>
      </c>
      <c r="B12">
        <v>1</v>
      </c>
      <c r="C12" t="s">
        <v>63</v>
      </c>
      <c r="D12" t="s">
        <v>24</v>
      </c>
      <c r="E12" t="s">
        <v>64</v>
      </c>
      <c r="F12" t="s">
        <v>20</v>
      </c>
      <c r="G12">
        <v>0.63300000000000001</v>
      </c>
      <c r="H12">
        <v>0.63300000000000001</v>
      </c>
      <c r="K12" t="b">
        <v>0</v>
      </c>
      <c r="L12">
        <v>5</v>
      </c>
      <c r="M12" t="s">
        <v>65</v>
      </c>
      <c r="N12" t="s">
        <v>66</v>
      </c>
      <c r="O12" t="b">
        <v>1</v>
      </c>
      <c r="P12">
        <f t="shared" si="0"/>
        <v>1</v>
      </c>
    </row>
    <row r="13" spans="1:16" x14ac:dyDescent="0.35">
      <c r="A13" t="s">
        <v>62</v>
      </c>
      <c r="B13">
        <v>2</v>
      </c>
      <c r="C13" t="s">
        <v>67</v>
      </c>
      <c r="D13" t="s">
        <v>24</v>
      </c>
      <c r="E13" t="s">
        <v>68</v>
      </c>
      <c r="F13" t="s">
        <v>20</v>
      </c>
      <c r="G13">
        <v>0.65400000000000003</v>
      </c>
      <c r="H13">
        <v>0.65400000000000003</v>
      </c>
      <c r="K13" t="b">
        <v>0</v>
      </c>
      <c r="L13">
        <v>5</v>
      </c>
      <c r="M13" t="s">
        <v>69</v>
      </c>
      <c r="N13" t="s">
        <v>70</v>
      </c>
      <c r="O13" t="b">
        <v>1</v>
      </c>
      <c r="P13">
        <f t="shared" si="0"/>
        <v>1</v>
      </c>
    </row>
    <row r="14" spans="1:16" x14ac:dyDescent="0.35">
      <c r="A14" t="s">
        <v>62</v>
      </c>
      <c r="B14">
        <v>3</v>
      </c>
      <c r="C14" t="s">
        <v>71</v>
      </c>
      <c r="D14" t="s">
        <v>24</v>
      </c>
      <c r="E14" t="s">
        <v>72</v>
      </c>
      <c r="F14" t="s">
        <v>20</v>
      </c>
      <c r="G14">
        <v>0.82499999999999996</v>
      </c>
      <c r="H14">
        <v>0.82499999999999996</v>
      </c>
      <c r="K14" t="b">
        <v>0</v>
      </c>
      <c r="L14">
        <v>5</v>
      </c>
      <c r="M14" t="s">
        <v>73</v>
      </c>
      <c r="N14" t="s">
        <v>74</v>
      </c>
      <c r="O14" t="b">
        <v>1</v>
      </c>
      <c r="P14">
        <f t="shared" si="0"/>
        <v>1</v>
      </c>
    </row>
    <row r="15" spans="1:16" x14ac:dyDescent="0.35">
      <c r="A15" t="s">
        <v>62</v>
      </c>
      <c r="B15">
        <v>4</v>
      </c>
      <c r="C15" t="s">
        <v>75</v>
      </c>
      <c r="D15" t="s">
        <v>24</v>
      </c>
      <c r="E15" t="s">
        <v>76</v>
      </c>
      <c r="F15" t="s">
        <v>20</v>
      </c>
      <c r="G15">
        <v>0.82499999999999996</v>
      </c>
      <c r="H15">
        <v>0.82499999999999996</v>
      </c>
      <c r="K15" t="b">
        <v>0</v>
      </c>
      <c r="L15">
        <v>5</v>
      </c>
      <c r="M15" t="s">
        <v>77</v>
      </c>
      <c r="N15" t="s">
        <v>78</v>
      </c>
      <c r="O15" t="b">
        <v>1</v>
      </c>
      <c r="P15">
        <f t="shared" si="0"/>
        <v>1</v>
      </c>
    </row>
    <row r="16" spans="1:16" x14ac:dyDescent="0.35">
      <c r="A16" t="s">
        <v>62</v>
      </c>
      <c r="B16">
        <v>5</v>
      </c>
      <c r="C16" t="s">
        <v>79</v>
      </c>
      <c r="D16" t="s">
        <v>24</v>
      </c>
      <c r="E16" t="s">
        <v>80</v>
      </c>
      <c r="F16" t="s">
        <v>20</v>
      </c>
      <c r="G16">
        <v>0.79</v>
      </c>
      <c r="H16">
        <v>0.79</v>
      </c>
      <c r="K16" t="b">
        <v>0</v>
      </c>
      <c r="L16">
        <v>5</v>
      </c>
      <c r="M16" t="s">
        <v>81</v>
      </c>
      <c r="N16" t="s">
        <v>82</v>
      </c>
      <c r="O16" t="b">
        <v>1</v>
      </c>
      <c r="P16">
        <f t="shared" si="0"/>
        <v>1</v>
      </c>
    </row>
    <row r="17" spans="1:16" x14ac:dyDescent="0.35">
      <c r="A17" t="s">
        <v>83</v>
      </c>
      <c r="B17">
        <v>1</v>
      </c>
      <c r="C17" t="s">
        <v>84</v>
      </c>
      <c r="D17" t="s">
        <v>18</v>
      </c>
      <c r="E17" t="s">
        <v>85</v>
      </c>
      <c r="F17" t="s">
        <v>20</v>
      </c>
      <c r="G17">
        <v>0.81200000000000006</v>
      </c>
      <c r="H17">
        <v>0.81200000000000006</v>
      </c>
      <c r="K17" t="b">
        <v>0</v>
      </c>
      <c r="L17">
        <v>5</v>
      </c>
      <c r="M17" t="s">
        <v>86</v>
      </c>
      <c r="N17" t="s">
        <v>87</v>
      </c>
      <c r="O17" t="b">
        <v>1</v>
      </c>
      <c r="P17">
        <f t="shared" si="0"/>
        <v>1</v>
      </c>
    </row>
    <row r="18" spans="1:16" x14ac:dyDescent="0.35">
      <c r="A18" t="s">
        <v>83</v>
      </c>
      <c r="B18">
        <v>2</v>
      </c>
      <c r="C18" t="s">
        <v>88</v>
      </c>
      <c r="D18" t="s">
        <v>18</v>
      </c>
      <c r="E18" t="s">
        <v>89</v>
      </c>
      <c r="F18" t="s">
        <v>20</v>
      </c>
      <c r="G18">
        <v>0.78700000000000003</v>
      </c>
      <c r="H18">
        <v>0.78700000000000003</v>
      </c>
      <c r="K18" t="b">
        <v>0</v>
      </c>
      <c r="L18">
        <v>5</v>
      </c>
      <c r="M18" t="s">
        <v>90</v>
      </c>
      <c r="N18" t="s">
        <v>91</v>
      </c>
      <c r="O18" t="b">
        <v>1</v>
      </c>
      <c r="P18">
        <f t="shared" si="0"/>
        <v>1</v>
      </c>
    </row>
    <row r="19" spans="1:16" x14ac:dyDescent="0.35">
      <c r="A19" t="s">
        <v>83</v>
      </c>
      <c r="B19">
        <v>3</v>
      </c>
      <c r="C19" t="s">
        <v>92</v>
      </c>
      <c r="D19" t="s">
        <v>24</v>
      </c>
      <c r="E19" t="s">
        <v>93</v>
      </c>
      <c r="F19" t="s">
        <v>20</v>
      </c>
      <c r="G19">
        <v>0.6</v>
      </c>
      <c r="H19">
        <v>0.6</v>
      </c>
      <c r="K19" t="b">
        <v>1</v>
      </c>
      <c r="L19">
        <v>5</v>
      </c>
      <c r="M19" t="s">
        <v>94</v>
      </c>
      <c r="N19" t="s">
        <v>95</v>
      </c>
      <c r="O19" t="b">
        <v>1</v>
      </c>
      <c r="P19">
        <f t="shared" si="0"/>
        <v>1</v>
      </c>
    </row>
    <row r="20" spans="1:16" x14ac:dyDescent="0.35">
      <c r="A20" t="s">
        <v>83</v>
      </c>
      <c r="B20">
        <v>4</v>
      </c>
      <c r="C20" t="s">
        <v>96</v>
      </c>
      <c r="D20" t="s">
        <v>18</v>
      </c>
      <c r="E20" t="s">
        <v>97</v>
      </c>
      <c r="F20" t="s">
        <v>38</v>
      </c>
      <c r="G20">
        <v>0</v>
      </c>
      <c r="H20">
        <v>0</v>
      </c>
      <c r="L20">
        <v>5</v>
      </c>
      <c r="M20" t="s">
        <v>98</v>
      </c>
      <c r="N20" t="s">
        <v>99</v>
      </c>
      <c r="O20" t="s">
        <v>38</v>
      </c>
      <c r="P20">
        <f t="shared" si="0"/>
        <v>1</v>
      </c>
    </row>
    <row r="21" spans="1:16" x14ac:dyDescent="0.35">
      <c r="A21" t="s">
        <v>83</v>
      </c>
      <c r="B21">
        <v>5</v>
      </c>
      <c r="C21" t="s">
        <v>100</v>
      </c>
      <c r="D21" t="s">
        <v>18</v>
      </c>
      <c r="E21" t="s">
        <v>101</v>
      </c>
      <c r="F21" t="s">
        <v>20</v>
      </c>
      <c r="G21">
        <v>0.72299999999999998</v>
      </c>
      <c r="H21">
        <v>0.72299999999999998</v>
      </c>
      <c r="K21" t="b">
        <v>0</v>
      </c>
      <c r="L21">
        <v>5</v>
      </c>
      <c r="M21" t="s">
        <v>102</v>
      </c>
      <c r="N21" t="s">
        <v>103</v>
      </c>
      <c r="O21" t="b">
        <v>1</v>
      </c>
      <c r="P21">
        <f t="shared" si="0"/>
        <v>1</v>
      </c>
    </row>
    <row r="22" spans="1:16" x14ac:dyDescent="0.35">
      <c r="A22" t="s">
        <v>104</v>
      </c>
      <c r="B22">
        <v>1</v>
      </c>
      <c r="C22" t="s">
        <v>105</v>
      </c>
      <c r="D22" t="s">
        <v>54</v>
      </c>
      <c r="E22" t="s">
        <v>106</v>
      </c>
      <c r="F22" t="s">
        <v>20</v>
      </c>
      <c r="G22">
        <v>0.85</v>
      </c>
      <c r="H22">
        <v>0.85</v>
      </c>
      <c r="K22" t="b">
        <v>0</v>
      </c>
      <c r="L22">
        <v>4</v>
      </c>
      <c r="M22" t="s">
        <v>107</v>
      </c>
      <c r="N22" t="s">
        <v>108</v>
      </c>
      <c r="O22" t="b">
        <v>1</v>
      </c>
      <c r="P22">
        <f t="shared" si="0"/>
        <v>1</v>
      </c>
    </row>
    <row r="23" spans="1:16" x14ac:dyDescent="0.35">
      <c r="A23" t="s">
        <v>104</v>
      </c>
      <c r="B23">
        <v>2</v>
      </c>
      <c r="C23" t="s">
        <v>109</v>
      </c>
      <c r="D23" t="s">
        <v>54</v>
      </c>
      <c r="E23" t="s">
        <v>110</v>
      </c>
      <c r="F23" t="s">
        <v>20</v>
      </c>
      <c r="G23">
        <v>0.83099999999999996</v>
      </c>
      <c r="H23">
        <v>0.83099999999999996</v>
      </c>
      <c r="K23" t="b">
        <v>0</v>
      </c>
      <c r="L23">
        <v>5</v>
      </c>
      <c r="M23" t="s">
        <v>111</v>
      </c>
      <c r="N23" t="s">
        <v>112</v>
      </c>
      <c r="O23" t="b">
        <v>1</v>
      </c>
      <c r="P23">
        <f t="shared" si="0"/>
        <v>1</v>
      </c>
    </row>
    <row r="24" spans="1:16" x14ac:dyDescent="0.35">
      <c r="A24" t="s">
        <v>104</v>
      </c>
      <c r="B24">
        <v>3</v>
      </c>
      <c r="C24" t="s">
        <v>113</v>
      </c>
      <c r="D24" t="s">
        <v>24</v>
      </c>
      <c r="E24" t="s">
        <v>114</v>
      </c>
      <c r="F24" t="s">
        <v>20</v>
      </c>
      <c r="G24">
        <v>0.85299999999999998</v>
      </c>
      <c r="H24">
        <v>0.85299999999999998</v>
      </c>
      <c r="K24" t="b">
        <v>0</v>
      </c>
      <c r="L24">
        <v>5</v>
      </c>
      <c r="M24" t="s">
        <v>115</v>
      </c>
      <c r="N24" t="s">
        <v>116</v>
      </c>
      <c r="O24" t="b">
        <v>1</v>
      </c>
      <c r="P24">
        <f t="shared" si="0"/>
        <v>1</v>
      </c>
    </row>
    <row r="25" spans="1:16" x14ac:dyDescent="0.35">
      <c r="A25" t="s">
        <v>104</v>
      </c>
      <c r="B25">
        <v>4</v>
      </c>
      <c r="C25" t="s">
        <v>117</v>
      </c>
      <c r="D25" t="s">
        <v>18</v>
      </c>
      <c r="E25" t="s">
        <v>118</v>
      </c>
      <c r="F25" t="s">
        <v>20</v>
      </c>
      <c r="G25">
        <v>0.84</v>
      </c>
      <c r="H25">
        <v>0.84</v>
      </c>
      <c r="K25" t="b">
        <v>0</v>
      </c>
      <c r="L25">
        <v>5</v>
      </c>
      <c r="M25" t="s">
        <v>119</v>
      </c>
      <c r="N25" t="s">
        <v>120</v>
      </c>
      <c r="O25" t="s">
        <v>38</v>
      </c>
      <c r="P25">
        <f t="shared" si="0"/>
        <v>0</v>
      </c>
    </row>
    <row r="26" spans="1:16" x14ac:dyDescent="0.35">
      <c r="A26" t="s">
        <v>104</v>
      </c>
      <c r="B26">
        <v>5</v>
      </c>
      <c r="C26" t="s">
        <v>121</v>
      </c>
      <c r="D26" t="s">
        <v>122</v>
      </c>
      <c r="E26" t="s">
        <v>123</v>
      </c>
      <c r="F26" t="s">
        <v>20</v>
      </c>
      <c r="G26">
        <v>0.82499999999999996</v>
      </c>
      <c r="H26">
        <v>0.82499999999999996</v>
      </c>
      <c r="K26" t="b">
        <v>0</v>
      </c>
      <c r="L26">
        <v>5</v>
      </c>
      <c r="M26" t="s">
        <v>124</v>
      </c>
      <c r="N26" t="s">
        <v>125</v>
      </c>
      <c r="O26" t="b">
        <v>1</v>
      </c>
      <c r="P26">
        <f t="shared" si="0"/>
        <v>1</v>
      </c>
    </row>
    <row r="27" spans="1:16" x14ac:dyDescent="0.35">
      <c r="A27" t="s">
        <v>126</v>
      </c>
      <c r="B27">
        <v>1</v>
      </c>
      <c r="C27" t="s">
        <v>127</v>
      </c>
      <c r="D27" t="s">
        <v>18</v>
      </c>
      <c r="E27" t="s">
        <v>128</v>
      </c>
      <c r="F27" t="s">
        <v>20</v>
      </c>
      <c r="G27">
        <v>0.77700000000000002</v>
      </c>
      <c r="H27">
        <v>0.77700000000000002</v>
      </c>
      <c r="K27" t="b">
        <v>0</v>
      </c>
      <c r="L27">
        <v>5</v>
      </c>
      <c r="M27" t="s">
        <v>129</v>
      </c>
      <c r="N27" t="s">
        <v>130</v>
      </c>
      <c r="O27" t="b">
        <v>1</v>
      </c>
      <c r="P27">
        <f t="shared" si="0"/>
        <v>1</v>
      </c>
    </row>
    <row r="28" spans="1:16" x14ac:dyDescent="0.35">
      <c r="A28" t="s">
        <v>126</v>
      </c>
      <c r="B28">
        <v>2</v>
      </c>
      <c r="C28" t="s">
        <v>131</v>
      </c>
      <c r="D28" t="s">
        <v>18</v>
      </c>
      <c r="E28" t="s">
        <v>132</v>
      </c>
      <c r="F28" t="s">
        <v>38</v>
      </c>
      <c r="G28">
        <v>0</v>
      </c>
      <c r="H28">
        <v>0</v>
      </c>
      <c r="L28">
        <v>5</v>
      </c>
      <c r="M28" t="s">
        <v>133</v>
      </c>
      <c r="N28" t="s">
        <v>134</v>
      </c>
      <c r="O28" t="b">
        <v>1</v>
      </c>
      <c r="P28">
        <f t="shared" si="0"/>
        <v>0</v>
      </c>
    </row>
    <row r="29" spans="1:16" x14ac:dyDescent="0.35">
      <c r="A29" t="s">
        <v>126</v>
      </c>
      <c r="B29">
        <v>3</v>
      </c>
      <c r="C29" t="s">
        <v>135</v>
      </c>
      <c r="D29" t="s">
        <v>18</v>
      </c>
      <c r="E29" t="s">
        <v>136</v>
      </c>
      <c r="F29" t="s">
        <v>20</v>
      </c>
      <c r="G29">
        <v>0.58099999999999996</v>
      </c>
      <c r="H29">
        <v>0.58099999999999996</v>
      </c>
      <c r="K29" t="b">
        <v>1</v>
      </c>
      <c r="L29">
        <v>5</v>
      </c>
      <c r="M29" t="s">
        <v>137</v>
      </c>
      <c r="N29" t="s">
        <v>138</v>
      </c>
      <c r="O29" t="b">
        <v>1</v>
      </c>
      <c r="P29">
        <f t="shared" si="0"/>
        <v>1</v>
      </c>
    </row>
    <row r="30" spans="1:16" x14ac:dyDescent="0.35">
      <c r="A30" t="s">
        <v>126</v>
      </c>
      <c r="B30">
        <v>4</v>
      </c>
      <c r="C30" t="s">
        <v>139</v>
      </c>
      <c r="D30" t="s">
        <v>18</v>
      </c>
      <c r="E30" t="s">
        <v>140</v>
      </c>
      <c r="F30" t="s">
        <v>38</v>
      </c>
      <c r="G30">
        <v>0</v>
      </c>
      <c r="H30">
        <v>0</v>
      </c>
      <c r="L30">
        <v>5</v>
      </c>
      <c r="M30" t="s">
        <v>141</v>
      </c>
      <c r="N30" t="s">
        <v>142</v>
      </c>
      <c r="O30" t="b">
        <v>1</v>
      </c>
      <c r="P30">
        <f t="shared" si="0"/>
        <v>0</v>
      </c>
    </row>
    <row r="31" spans="1:16" x14ac:dyDescent="0.35">
      <c r="A31" t="s">
        <v>126</v>
      </c>
      <c r="B31">
        <v>5</v>
      </c>
      <c r="C31" t="s">
        <v>143</v>
      </c>
      <c r="D31" t="s">
        <v>18</v>
      </c>
      <c r="E31" t="s">
        <v>144</v>
      </c>
      <c r="F31" t="s">
        <v>38</v>
      </c>
      <c r="G31">
        <v>0</v>
      </c>
      <c r="H31">
        <v>0</v>
      </c>
      <c r="L31">
        <v>5</v>
      </c>
      <c r="M31" t="s">
        <v>145</v>
      </c>
      <c r="N31" t="s">
        <v>146</v>
      </c>
      <c r="O31" t="b">
        <v>1</v>
      </c>
      <c r="P31">
        <f t="shared" si="0"/>
        <v>0</v>
      </c>
    </row>
    <row r="32" spans="1:16" x14ac:dyDescent="0.35">
      <c r="A32" t="s">
        <v>147</v>
      </c>
      <c r="B32">
        <v>1</v>
      </c>
      <c r="C32" t="s">
        <v>148</v>
      </c>
      <c r="D32" t="s">
        <v>18</v>
      </c>
      <c r="E32" t="s">
        <v>149</v>
      </c>
      <c r="F32" t="s">
        <v>20</v>
      </c>
      <c r="G32">
        <v>0.81200000000000006</v>
      </c>
      <c r="H32">
        <v>0.81200000000000006</v>
      </c>
      <c r="K32" t="b">
        <v>0</v>
      </c>
      <c r="L32">
        <v>5</v>
      </c>
      <c r="M32" t="s">
        <v>150</v>
      </c>
      <c r="N32" t="s">
        <v>151</v>
      </c>
      <c r="O32" t="b">
        <v>1</v>
      </c>
      <c r="P32">
        <f t="shared" si="0"/>
        <v>1</v>
      </c>
    </row>
    <row r="33" spans="1:16" x14ac:dyDescent="0.35">
      <c r="A33" t="s">
        <v>147</v>
      </c>
      <c r="B33">
        <v>2</v>
      </c>
      <c r="C33" t="s">
        <v>152</v>
      </c>
      <c r="D33" t="s">
        <v>24</v>
      </c>
      <c r="E33" t="s">
        <v>153</v>
      </c>
      <c r="F33" t="s">
        <v>38</v>
      </c>
      <c r="G33">
        <v>0</v>
      </c>
      <c r="H33">
        <v>0</v>
      </c>
      <c r="L33">
        <v>5</v>
      </c>
      <c r="M33" t="s">
        <v>154</v>
      </c>
      <c r="O33" t="b">
        <v>1</v>
      </c>
      <c r="P33">
        <f t="shared" si="0"/>
        <v>0</v>
      </c>
    </row>
    <row r="34" spans="1:16" x14ac:dyDescent="0.35">
      <c r="A34" t="s">
        <v>147</v>
      </c>
      <c r="B34">
        <v>3</v>
      </c>
      <c r="C34" t="s">
        <v>155</v>
      </c>
      <c r="D34" t="s">
        <v>18</v>
      </c>
      <c r="E34" t="s">
        <v>156</v>
      </c>
      <c r="F34" t="s">
        <v>20</v>
      </c>
      <c r="G34">
        <v>0.78</v>
      </c>
      <c r="H34">
        <v>0.78</v>
      </c>
      <c r="K34" t="b">
        <v>0</v>
      </c>
      <c r="L34">
        <v>5</v>
      </c>
      <c r="M34" t="s">
        <v>157</v>
      </c>
      <c r="N34" t="s">
        <v>158</v>
      </c>
      <c r="O34" t="b">
        <v>1</v>
      </c>
      <c r="P34">
        <f t="shared" si="0"/>
        <v>1</v>
      </c>
    </row>
    <row r="35" spans="1:16" x14ac:dyDescent="0.35">
      <c r="A35" t="s">
        <v>147</v>
      </c>
      <c r="B35">
        <v>4</v>
      </c>
      <c r="C35" t="s">
        <v>159</v>
      </c>
      <c r="D35" t="s">
        <v>24</v>
      </c>
      <c r="E35" t="s">
        <v>160</v>
      </c>
      <c r="F35" t="s">
        <v>20</v>
      </c>
      <c r="G35">
        <v>0.629</v>
      </c>
      <c r="H35">
        <v>0.629</v>
      </c>
      <c r="K35" t="b">
        <v>0</v>
      </c>
      <c r="L35">
        <v>5</v>
      </c>
      <c r="M35" t="s">
        <v>161</v>
      </c>
      <c r="N35" t="s">
        <v>162</v>
      </c>
      <c r="O35" t="b">
        <v>1</v>
      </c>
      <c r="P35">
        <f t="shared" si="0"/>
        <v>1</v>
      </c>
    </row>
    <row r="36" spans="1:16" x14ac:dyDescent="0.35">
      <c r="A36" t="s">
        <v>147</v>
      </c>
      <c r="B36">
        <v>5</v>
      </c>
      <c r="C36" t="s">
        <v>163</v>
      </c>
      <c r="D36" t="s">
        <v>18</v>
      </c>
      <c r="E36" t="s">
        <v>164</v>
      </c>
      <c r="F36" t="s">
        <v>20</v>
      </c>
      <c r="G36">
        <v>0.44600000000000001</v>
      </c>
      <c r="H36">
        <v>0.44600000000000001</v>
      </c>
      <c r="K36" t="b">
        <v>1</v>
      </c>
      <c r="L36">
        <v>5</v>
      </c>
      <c r="M36" t="s">
        <v>165</v>
      </c>
      <c r="N36" t="s">
        <v>166</v>
      </c>
      <c r="O36" t="b">
        <v>1</v>
      </c>
      <c r="P36">
        <f t="shared" si="0"/>
        <v>1</v>
      </c>
    </row>
    <row r="37" spans="1:16" x14ac:dyDescent="0.35">
      <c r="A37" t="s">
        <v>167</v>
      </c>
      <c r="B37">
        <v>1</v>
      </c>
      <c r="C37" t="s">
        <v>168</v>
      </c>
      <c r="D37" t="s">
        <v>24</v>
      </c>
      <c r="E37" t="s">
        <v>169</v>
      </c>
      <c r="F37" t="s">
        <v>38</v>
      </c>
      <c r="G37">
        <v>0</v>
      </c>
      <c r="H37">
        <v>0</v>
      </c>
      <c r="L37">
        <v>5</v>
      </c>
      <c r="M37" t="s">
        <v>170</v>
      </c>
      <c r="N37" t="s">
        <v>171</v>
      </c>
      <c r="O37" t="b">
        <v>1</v>
      </c>
      <c r="P37">
        <f t="shared" si="0"/>
        <v>0</v>
      </c>
    </row>
    <row r="38" spans="1:16" x14ac:dyDescent="0.35">
      <c r="A38" t="s">
        <v>167</v>
      </c>
      <c r="B38">
        <v>2</v>
      </c>
      <c r="C38" t="s">
        <v>172</v>
      </c>
      <c r="D38" t="s">
        <v>24</v>
      </c>
      <c r="E38" t="s">
        <v>173</v>
      </c>
      <c r="F38" t="s">
        <v>174</v>
      </c>
      <c r="G38">
        <v>0.69599999999999995</v>
      </c>
      <c r="H38">
        <v>0.69599999999999995</v>
      </c>
      <c r="K38" t="b">
        <v>0</v>
      </c>
      <c r="L38">
        <v>5</v>
      </c>
      <c r="M38" t="s">
        <v>175</v>
      </c>
      <c r="N38" t="s">
        <v>176</v>
      </c>
      <c r="O38" t="b">
        <v>1</v>
      </c>
      <c r="P38">
        <f t="shared" si="0"/>
        <v>0</v>
      </c>
    </row>
    <row r="39" spans="1:16" x14ac:dyDescent="0.35">
      <c r="A39" t="s">
        <v>167</v>
      </c>
      <c r="B39">
        <v>3</v>
      </c>
      <c r="C39" t="s">
        <v>177</v>
      </c>
      <c r="D39" t="s">
        <v>24</v>
      </c>
      <c r="E39" t="s">
        <v>93</v>
      </c>
      <c r="F39" t="s">
        <v>174</v>
      </c>
      <c r="G39">
        <v>0.57099999999999995</v>
      </c>
      <c r="H39">
        <v>0.57099999999999995</v>
      </c>
      <c r="K39" t="b">
        <v>1</v>
      </c>
      <c r="L39">
        <v>5</v>
      </c>
      <c r="M39" t="s">
        <v>178</v>
      </c>
      <c r="N39" t="s">
        <v>179</v>
      </c>
      <c r="O39" t="b">
        <v>0</v>
      </c>
      <c r="P39">
        <f t="shared" si="0"/>
        <v>1</v>
      </c>
    </row>
    <row r="40" spans="1:16" x14ac:dyDescent="0.35">
      <c r="A40" t="s">
        <v>167</v>
      </c>
      <c r="B40">
        <v>4</v>
      </c>
      <c r="C40" t="s">
        <v>180</v>
      </c>
      <c r="D40" t="s">
        <v>24</v>
      </c>
      <c r="E40" t="s">
        <v>181</v>
      </c>
      <c r="F40" t="s">
        <v>20</v>
      </c>
      <c r="G40">
        <v>0.82899999999999996</v>
      </c>
      <c r="H40">
        <v>0.82899999999999996</v>
      </c>
      <c r="K40" t="b">
        <v>0</v>
      </c>
      <c r="L40">
        <v>5</v>
      </c>
      <c r="M40" t="s">
        <v>182</v>
      </c>
      <c r="N40" t="s">
        <v>183</v>
      </c>
      <c r="O40" t="b">
        <v>1</v>
      </c>
      <c r="P40">
        <f t="shared" si="0"/>
        <v>1</v>
      </c>
    </row>
    <row r="41" spans="1:16" x14ac:dyDescent="0.35">
      <c r="A41" t="s">
        <v>167</v>
      </c>
      <c r="B41">
        <v>5</v>
      </c>
      <c r="C41" t="s">
        <v>184</v>
      </c>
      <c r="D41" t="s">
        <v>24</v>
      </c>
      <c r="E41" t="s">
        <v>185</v>
      </c>
      <c r="F41" t="s">
        <v>20</v>
      </c>
      <c r="G41">
        <v>0.76800000000000002</v>
      </c>
      <c r="H41">
        <v>0.76800000000000002</v>
      </c>
      <c r="K41" t="b">
        <v>0</v>
      </c>
      <c r="L41">
        <v>5</v>
      </c>
      <c r="M41" t="s">
        <v>186</v>
      </c>
      <c r="N41" t="s">
        <v>187</v>
      </c>
      <c r="O41" t="s">
        <v>38</v>
      </c>
      <c r="P41">
        <f t="shared" si="0"/>
        <v>0</v>
      </c>
    </row>
    <row r="42" spans="1:16" x14ac:dyDescent="0.35">
      <c r="A42" t="s">
        <v>201</v>
      </c>
      <c r="B42">
        <v>1</v>
      </c>
      <c r="C42" t="s">
        <v>202</v>
      </c>
      <c r="D42" t="s">
        <v>24</v>
      </c>
      <c r="E42" t="s">
        <v>203</v>
      </c>
      <c r="F42" t="s">
        <v>174</v>
      </c>
      <c r="G42">
        <v>0.82499999999999996</v>
      </c>
      <c r="H42">
        <v>0.82499999999999996</v>
      </c>
      <c r="K42" t="b">
        <v>0</v>
      </c>
      <c r="L42">
        <v>4</v>
      </c>
      <c r="M42" t="s">
        <v>204</v>
      </c>
      <c r="N42" t="s">
        <v>205</v>
      </c>
      <c r="O42" t="s">
        <v>174</v>
      </c>
      <c r="P42">
        <f t="shared" si="0"/>
        <v>1</v>
      </c>
    </row>
    <row r="43" spans="1:16" x14ac:dyDescent="0.35">
      <c r="A43" t="s">
        <v>201</v>
      </c>
      <c r="B43">
        <v>2</v>
      </c>
      <c r="C43" t="s">
        <v>206</v>
      </c>
      <c r="D43" t="s">
        <v>54</v>
      </c>
      <c r="E43" t="s">
        <v>203</v>
      </c>
      <c r="F43" t="s">
        <v>174</v>
      </c>
      <c r="G43">
        <v>0.64200000000000002</v>
      </c>
      <c r="H43">
        <v>0.64200000000000002</v>
      </c>
      <c r="K43" t="b">
        <v>0</v>
      </c>
      <c r="L43">
        <v>5</v>
      </c>
      <c r="M43" t="s">
        <v>207</v>
      </c>
      <c r="N43" t="s">
        <v>208</v>
      </c>
      <c r="O43" t="s">
        <v>174</v>
      </c>
      <c r="P43">
        <f t="shared" si="0"/>
        <v>1</v>
      </c>
    </row>
    <row r="44" spans="1:16" x14ac:dyDescent="0.35">
      <c r="A44" t="s">
        <v>201</v>
      </c>
      <c r="B44">
        <v>3</v>
      </c>
      <c r="C44" t="s">
        <v>209</v>
      </c>
      <c r="D44" t="s">
        <v>24</v>
      </c>
      <c r="E44" t="s">
        <v>203</v>
      </c>
      <c r="F44" t="s">
        <v>174</v>
      </c>
      <c r="G44">
        <v>0.76200000000000001</v>
      </c>
      <c r="H44">
        <v>0.76200000000000001</v>
      </c>
      <c r="K44" t="b">
        <v>0</v>
      </c>
      <c r="L44">
        <v>5</v>
      </c>
      <c r="M44" t="s">
        <v>210</v>
      </c>
      <c r="N44" t="s">
        <v>211</v>
      </c>
      <c r="O44" t="s">
        <v>174</v>
      </c>
      <c r="P44">
        <f t="shared" si="0"/>
        <v>1</v>
      </c>
    </row>
    <row r="45" spans="1:16" x14ac:dyDescent="0.35">
      <c r="A45" t="s">
        <v>201</v>
      </c>
      <c r="B45">
        <v>4</v>
      </c>
      <c r="C45" t="s">
        <v>212</v>
      </c>
      <c r="D45" t="s">
        <v>24</v>
      </c>
      <c r="E45" t="s">
        <v>203</v>
      </c>
      <c r="F45" t="s">
        <v>174</v>
      </c>
      <c r="G45">
        <v>0.72499999999999998</v>
      </c>
      <c r="H45">
        <v>0.72499999999999998</v>
      </c>
      <c r="K45" t="b">
        <v>0</v>
      </c>
      <c r="L45">
        <v>5</v>
      </c>
      <c r="M45" t="s">
        <v>213</v>
      </c>
      <c r="N45" t="s">
        <v>214</v>
      </c>
      <c r="O45" t="s">
        <v>174</v>
      </c>
      <c r="P45">
        <f t="shared" si="0"/>
        <v>1</v>
      </c>
    </row>
    <row r="46" spans="1:16" x14ac:dyDescent="0.35">
      <c r="A46" t="s">
        <v>201</v>
      </c>
      <c r="B46">
        <v>5</v>
      </c>
      <c r="C46" t="s">
        <v>215</v>
      </c>
      <c r="D46" t="s">
        <v>24</v>
      </c>
      <c r="E46" t="s">
        <v>203</v>
      </c>
      <c r="F46" t="s">
        <v>174</v>
      </c>
      <c r="G46">
        <v>0.82699999999999996</v>
      </c>
      <c r="H46">
        <v>0.82699999999999996</v>
      </c>
      <c r="K46" t="b">
        <v>0</v>
      </c>
      <c r="L46">
        <v>5</v>
      </c>
      <c r="M46" t="s">
        <v>216</v>
      </c>
      <c r="N46" t="s">
        <v>217</v>
      </c>
      <c r="O46" t="s">
        <v>174</v>
      </c>
      <c r="P46">
        <f t="shared" si="0"/>
        <v>1</v>
      </c>
    </row>
    <row r="47" spans="1:16" x14ac:dyDescent="0.35">
      <c r="A47" t="s">
        <v>201</v>
      </c>
      <c r="B47">
        <v>6</v>
      </c>
      <c r="C47" t="s">
        <v>218</v>
      </c>
      <c r="D47" t="s">
        <v>24</v>
      </c>
      <c r="E47" t="s">
        <v>203</v>
      </c>
      <c r="F47" t="s">
        <v>174</v>
      </c>
      <c r="G47">
        <v>0.82699999999999996</v>
      </c>
      <c r="H47">
        <v>0.82699999999999996</v>
      </c>
      <c r="K47" t="b">
        <v>0</v>
      </c>
      <c r="L47">
        <v>5</v>
      </c>
      <c r="M47" t="s">
        <v>219</v>
      </c>
      <c r="N47" t="s">
        <v>220</v>
      </c>
      <c r="O47" t="s">
        <v>174</v>
      </c>
      <c r="P47">
        <f t="shared" si="0"/>
        <v>1</v>
      </c>
    </row>
    <row r="48" spans="1:16" x14ac:dyDescent="0.35">
      <c r="A48" t="s">
        <v>201</v>
      </c>
      <c r="B48">
        <v>7</v>
      </c>
      <c r="C48" t="s">
        <v>221</v>
      </c>
      <c r="D48" t="s">
        <v>24</v>
      </c>
      <c r="E48" t="s">
        <v>203</v>
      </c>
      <c r="F48" t="s">
        <v>174</v>
      </c>
      <c r="G48">
        <v>0.76200000000000001</v>
      </c>
      <c r="H48">
        <v>0.76200000000000001</v>
      </c>
      <c r="K48" t="b">
        <v>0</v>
      </c>
      <c r="L48">
        <v>4</v>
      </c>
      <c r="M48" t="s">
        <v>222</v>
      </c>
      <c r="N48" t="s">
        <v>223</v>
      </c>
      <c r="O48" t="s">
        <v>174</v>
      </c>
      <c r="P48">
        <f t="shared" si="0"/>
        <v>1</v>
      </c>
    </row>
    <row r="49" spans="1:16" x14ac:dyDescent="0.35">
      <c r="A49" t="s">
        <v>201</v>
      </c>
      <c r="B49">
        <v>8</v>
      </c>
      <c r="C49" t="s">
        <v>224</v>
      </c>
      <c r="D49" t="s">
        <v>18</v>
      </c>
      <c r="E49" t="s">
        <v>203</v>
      </c>
      <c r="F49" t="s">
        <v>174</v>
      </c>
      <c r="G49">
        <v>0.78700000000000003</v>
      </c>
      <c r="H49">
        <v>0.78700000000000003</v>
      </c>
      <c r="K49" t="b">
        <v>0</v>
      </c>
      <c r="L49">
        <v>5</v>
      </c>
      <c r="M49" t="s">
        <v>225</v>
      </c>
      <c r="N49" t="s">
        <v>226</v>
      </c>
      <c r="O49" t="s">
        <v>174</v>
      </c>
      <c r="P49">
        <f t="shared" si="0"/>
        <v>1</v>
      </c>
    </row>
    <row r="50" spans="1:16" x14ac:dyDescent="0.35">
      <c r="A50" t="s">
        <v>201</v>
      </c>
      <c r="B50">
        <v>9</v>
      </c>
      <c r="C50" t="s">
        <v>227</v>
      </c>
      <c r="D50" t="s">
        <v>24</v>
      </c>
      <c r="E50" t="s">
        <v>203</v>
      </c>
      <c r="F50" t="s">
        <v>174</v>
      </c>
      <c r="G50">
        <v>0.82499999999999996</v>
      </c>
      <c r="H50">
        <v>0.82499999999999996</v>
      </c>
      <c r="K50" t="b">
        <v>0</v>
      </c>
      <c r="L50">
        <v>5</v>
      </c>
      <c r="M50" t="s">
        <v>228</v>
      </c>
      <c r="N50" t="s">
        <v>229</v>
      </c>
      <c r="O50" t="s">
        <v>174</v>
      </c>
      <c r="P50">
        <f t="shared" si="0"/>
        <v>1</v>
      </c>
    </row>
    <row r="51" spans="1:16" x14ac:dyDescent="0.35">
      <c r="A51" t="s">
        <v>201</v>
      </c>
      <c r="B51">
        <v>10</v>
      </c>
      <c r="C51" t="s">
        <v>230</v>
      </c>
      <c r="D51" t="s">
        <v>24</v>
      </c>
      <c r="E51" t="s">
        <v>203</v>
      </c>
      <c r="F51" t="s">
        <v>38</v>
      </c>
      <c r="G51">
        <v>0</v>
      </c>
      <c r="H51">
        <v>0</v>
      </c>
      <c r="L51">
        <v>4</v>
      </c>
      <c r="M51" t="s">
        <v>231</v>
      </c>
      <c r="N51" t="s">
        <v>232</v>
      </c>
      <c r="O51" t="s">
        <v>174</v>
      </c>
      <c r="P51">
        <f t="shared" si="0"/>
        <v>0</v>
      </c>
    </row>
    <row r="52" spans="1:16" x14ac:dyDescent="0.35">
      <c r="A52" t="s">
        <v>201</v>
      </c>
      <c r="B52">
        <v>11</v>
      </c>
      <c r="C52" t="s">
        <v>233</v>
      </c>
      <c r="D52" t="s">
        <v>234</v>
      </c>
      <c r="E52" t="s">
        <v>203</v>
      </c>
      <c r="F52" t="s">
        <v>174</v>
      </c>
      <c r="G52">
        <v>0.80800000000000005</v>
      </c>
      <c r="H52">
        <v>0.80800000000000005</v>
      </c>
      <c r="K52" t="b">
        <v>0</v>
      </c>
      <c r="L52">
        <v>5</v>
      </c>
      <c r="M52" t="s">
        <v>235</v>
      </c>
      <c r="N52" t="s">
        <v>236</v>
      </c>
      <c r="O52" t="s">
        <v>174</v>
      </c>
      <c r="P52">
        <f t="shared" si="0"/>
        <v>1</v>
      </c>
    </row>
    <row r="53" spans="1:16" x14ac:dyDescent="0.35">
      <c r="A53" t="s">
        <v>201</v>
      </c>
      <c r="B53">
        <v>12</v>
      </c>
      <c r="C53" t="s">
        <v>237</v>
      </c>
      <c r="D53" t="s">
        <v>18</v>
      </c>
      <c r="E53" t="s">
        <v>203</v>
      </c>
      <c r="F53" t="s">
        <v>174</v>
      </c>
      <c r="G53">
        <v>0.81200000000000006</v>
      </c>
      <c r="H53">
        <v>0.81200000000000006</v>
      </c>
      <c r="K53" t="b">
        <v>0</v>
      </c>
      <c r="L53">
        <v>5</v>
      </c>
      <c r="M53" t="s">
        <v>238</v>
      </c>
      <c r="N53" t="s">
        <v>239</v>
      </c>
      <c r="O53" t="s">
        <v>174</v>
      </c>
      <c r="P53">
        <f t="shared" si="0"/>
        <v>1</v>
      </c>
    </row>
    <row r="54" spans="1:16" x14ac:dyDescent="0.35">
      <c r="A54" t="s">
        <v>201</v>
      </c>
      <c r="B54">
        <v>13</v>
      </c>
      <c r="C54" t="s">
        <v>240</v>
      </c>
      <c r="D54" t="s">
        <v>24</v>
      </c>
      <c r="E54" t="s">
        <v>203</v>
      </c>
      <c r="F54" t="s">
        <v>174</v>
      </c>
      <c r="G54">
        <v>0.629</v>
      </c>
      <c r="H54">
        <v>0.629</v>
      </c>
      <c r="K54" t="b">
        <v>0</v>
      </c>
      <c r="L54">
        <v>5</v>
      </c>
      <c r="M54" t="s">
        <v>241</v>
      </c>
      <c r="N54" t="s">
        <v>242</v>
      </c>
      <c r="O54" t="s">
        <v>174</v>
      </c>
      <c r="P54">
        <f t="shared" si="0"/>
        <v>1</v>
      </c>
    </row>
    <row r="55" spans="1:16" x14ac:dyDescent="0.35">
      <c r="A55" t="s">
        <v>201</v>
      </c>
      <c r="B55">
        <v>14</v>
      </c>
      <c r="C55" t="s">
        <v>243</v>
      </c>
      <c r="D55" t="s">
        <v>234</v>
      </c>
      <c r="E55" t="s">
        <v>203</v>
      </c>
      <c r="F55" t="s">
        <v>174</v>
      </c>
      <c r="G55">
        <v>0.79900000000000004</v>
      </c>
      <c r="H55">
        <v>0.79900000000000004</v>
      </c>
      <c r="K55" t="b">
        <v>0</v>
      </c>
      <c r="L55">
        <v>5</v>
      </c>
      <c r="M55" t="s">
        <v>244</v>
      </c>
      <c r="N55" t="s">
        <v>245</v>
      </c>
      <c r="O55" t="s">
        <v>174</v>
      </c>
      <c r="P55">
        <f t="shared" si="0"/>
        <v>1</v>
      </c>
    </row>
    <row r="56" spans="1:16" x14ac:dyDescent="0.35">
      <c r="A56" t="s">
        <v>201</v>
      </c>
      <c r="B56">
        <v>15</v>
      </c>
      <c r="C56" t="s">
        <v>246</v>
      </c>
      <c r="D56" t="s">
        <v>18</v>
      </c>
      <c r="E56" t="s">
        <v>203</v>
      </c>
      <c r="F56" t="s">
        <v>174</v>
      </c>
      <c r="G56">
        <v>0.6</v>
      </c>
      <c r="H56">
        <v>0.6</v>
      </c>
      <c r="K56" t="b">
        <v>1</v>
      </c>
      <c r="L56">
        <v>5</v>
      </c>
      <c r="M56" t="s">
        <v>247</v>
      </c>
      <c r="N56" t="s">
        <v>248</v>
      </c>
      <c r="O56" t="s">
        <v>174</v>
      </c>
      <c r="P56">
        <f t="shared" si="0"/>
        <v>1</v>
      </c>
    </row>
    <row r="57" spans="1:16" x14ac:dyDescent="0.35">
      <c r="A57" t="s">
        <v>201</v>
      </c>
      <c r="B57">
        <v>16</v>
      </c>
      <c r="C57" t="s">
        <v>249</v>
      </c>
      <c r="D57" t="s">
        <v>18</v>
      </c>
      <c r="E57" t="s">
        <v>203</v>
      </c>
      <c r="F57" t="s">
        <v>174</v>
      </c>
      <c r="G57">
        <v>0.68700000000000006</v>
      </c>
      <c r="H57">
        <v>0.68700000000000006</v>
      </c>
      <c r="K57" t="b">
        <v>0</v>
      </c>
      <c r="L57">
        <v>5</v>
      </c>
      <c r="M57" t="s">
        <v>250</v>
      </c>
      <c r="N57" t="s">
        <v>251</v>
      </c>
      <c r="O57" t="s">
        <v>38</v>
      </c>
      <c r="P57">
        <f t="shared" si="0"/>
        <v>0</v>
      </c>
    </row>
    <row r="58" spans="1:16" x14ac:dyDescent="0.35">
      <c r="A58" t="s">
        <v>201</v>
      </c>
      <c r="B58">
        <v>17</v>
      </c>
      <c r="C58" t="s">
        <v>252</v>
      </c>
      <c r="D58" t="s">
        <v>18</v>
      </c>
      <c r="E58" t="s">
        <v>203</v>
      </c>
      <c r="F58" t="s">
        <v>174</v>
      </c>
      <c r="G58">
        <v>0.6</v>
      </c>
      <c r="H58">
        <v>0.6</v>
      </c>
      <c r="K58" t="b">
        <v>1</v>
      </c>
      <c r="L58">
        <v>5</v>
      </c>
      <c r="M58" t="s">
        <v>253</v>
      </c>
      <c r="N58" t="s">
        <v>254</v>
      </c>
      <c r="O58" t="s">
        <v>38</v>
      </c>
      <c r="P58">
        <f t="shared" si="0"/>
        <v>0</v>
      </c>
    </row>
    <row r="59" spans="1:16" x14ac:dyDescent="0.35">
      <c r="A59" t="s">
        <v>201</v>
      </c>
      <c r="B59">
        <v>18</v>
      </c>
      <c r="C59" t="s">
        <v>255</v>
      </c>
      <c r="D59" t="s">
        <v>18</v>
      </c>
      <c r="E59" t="s">
        <v>203</v>
      </c>
      <c r="F59" t="s">
        <v>38</v>
      </c>
      <c r="G59">
        <v>0</v>
      </c>
      <c r="H59">
        <v>0</v>
      </c>
      <c r="L59">
        <v>4</v>
      </c>
      <c r="M59" t="s">
        <v>256</v>
      </c>
      <c r="N59" t="s">
        <v>257</v>
      </c>
      <c r="O59" t="s">
        <v>38</v>
      </c>
      <c r="P59">
        <f t="shared" si="0"/>
        <v>1</v>
      </c>
    </row>
    <row r="60" spans="1:16" x14ac:dyDescent="0.35">
      <c r="A60" t="s">
        <v>201</v>
      </c>
      <c r="B60">
        <v>19</v>
      </c>
      <c r="C60" t="s">
        <v>258</v>
      </c>
      <c r="D60" t="s">
        <v>18</v>
      </c>
      <c r="E60" t="s">
        <v>203</v>
      </c>
      <c r="F60" t="s">
        <v>38</v>
      </c>
      <c r="G60">
        <v>0</v>
      </c>
      <c r="H60">
        <v>0</v>
      </c>
      <c r="L60">
        <v>4</v>
      </c>
      <c r="M60" t="s">
        <v>259</v>
      </c>
      <c r="N60" t="s">
        <v>260</v>
      </c>
      <c r="O60" t="s">
        <v>38</v>
      </c>
      <c r="P60">
        <f t="shared" si="0"/>
        <v>1</v>
      </c>
    </row>
    <row r="61" spans="1:16" x14ac:dyDescent="0.35">
      <c r="A61" t="s">
        <v>201</v>
      </c>
      <c r="B61">
        <v>20</v>
      </c>
      <c r="C61" t="s">
        <v>261</v>
      </c>
      <c r="D61" t="s">
        <v>18</v>
      </c>
      <c r="E61" t="s">
        <v>203</v>
      </c>
      <c r="F61" t="s">
        <v>174</v>
      </c>
      <c r="G61">
        <v>0.71099999999999997</v>
      </c>
      <c r="H61">
        <v>0.71099999999999997</v>
      </c>
      <c r="K61" t="b">
        <v>0</v>
      </c>
      <c r="L61">
        <v>4</v>
      </c>
      <c r="M61" t="s">
        <v>262</v>
      </c>
      <c r="N61" t="s">
        <v>263</v>
      </c>
      <c r="O61" t="s">
        <v>38</v>
      </c>
      <c r="P61">
        <f t="shared" si="0"/>
        <v>0</v>
      </c>
    </row>
    <row r="62" spans="1:16" x14ac:dyDescent="0.35">
      <c r="A62" t="s">
        <v>201</v>
      </c>
      <c r="B62">
        <v>21</v>
      </c>
      <c r="C62" t="s">
        <v>264</v>
      </c>
      <c r="D62" t="s">
        <v>18</v>
      </c>
      <c r="E62" t="s">
        <v>203</v>
      </c>
      <c r="F62" t="s">
        <v>174</v>
      </c>
      <c r="G62">
        <v>0.6</v>
      </c>
      <c r="H62">
        <v>0.6</v>
      </c>
      <c r="K62" t="b">
        <v>1</v>
      </c>
      <c r="L62">
        <v>5</v>
      </c>
      <c r="M62" t="s">
        <v>265</v>
      </c>
      <c r="N62" t="s">
        <v>266</v>
      </c>
      <c r="O62" t="s">
        <v>38</v>
      </c>
      <c r="P62">
        <f t="shared" si="0"/>
        <v>0</v>
      </c>
    </row>
    <row r="63" spans="1:16" x14ac:dyDescent="0.35">
      <c r="A63" t="s">
        <v>201</v>
      </c>
      <c r="B63">
        <v>22</v>
      </c>
      <c r="C63" t="s">
        <v>267</v>
      </c>
      <c r="D63" t="s">
        <v>24</v>
      </c>
      <c r="E63" t="s">
        <v>203</v>
      </c>
      <c r="F63" t="s">
        <v>38</v>
      </c>
      <c r="G63">
        <v>0</v>
      </c>
      <c r="H63">
        <v>0</v>
      </c>
      <c r="L63">
        <v>5</v>
      </c>
      <c r="M63" t="s">
        <v>268</v>
      </c>
      <c r="N63" t="s">
        <v>269</v>
      </c>
      <c r="O63" t="s">
        <v>38</v>
      </c>
      <c r="P63">
        <f t="shared" si="0"/>
        <v>1</v>
      </c>
    </row>
    <row r="64" spans="1:16" x14ac:dyDescent="0.35">
      <c r="A64" t="s">
        <v>201</v>
      </c>
      <c r="B64">
        <v>23</v>
      </c>
      <c r="C64" t="s">
        <v>270</v>
      </c>
      <c r="D64" t="s">
        <v>122</v>
      </c>
      <c r="E64" t="s">
        <v>203</v>
      </c>
      <c r="F64" t="s">
        <v>38</v>
      </c>
      <c r="G64">
        <v>0</v>
      </c>
      <c r="H64">
        <v>0</v>
      </c>
      <c r="L64">
        <v>5</v>
      </c>
      <c r="M64" t="s">
        <v>271</v>
      </c>
      <c r="N64" t="s">
        <v>272</v>
      </c>
      <c r="O64" t="s">
        <v>38</v>
      </c>
      <c r="P64">
        <f t="shared" si="0"/>
        <v>1</v>
      </c>
    </row>
    <row r="65" spans="1:16" x14ac:dyDescent="0.35">
      <c r="A65" t="s">
        <v>201</v>
      </c>
      <c r="B65">
        <v>24</v>
      </c>
      <c r="C65" t="s">
        <v>273</v>
      </c>
      <c r="D65" t="s">
        <v>18</v>
      </c>
      <c r="E65" t="s">
        <v>203</v>
      </c>
      <c r="F65" t="s">
        <v>38</v>
      </c>
      <c r="G65">
        <v>0</v>
      </c>
      <c r="H65">
        <v>0</v>
      </c>
      <c r="L65">
        <v>4</v>
      </c>
      <c r="M65" t="s">
        <v>274</v>
      </c>
      <c r="N65" t="s">
        <v>275</v>
      </c>
      <c r="O65" t="s">
        <v>38</v>
      </c>
      <c r="P65">
        <f t="shared" si="0"/>
        <v>1</v>
      </c>
    </row>
    <row r="66" spans="1:16" x14ac:dyDescent="0.35">
      <c r="A66" t="s">
        <v>201</v>
      </c>
      <c r="B66">
        <v>25</v>
      </c>
      <c r="C66" t="s">
        <v>276</v>
      </c>
      <c r="D66" t="s">
        <v>18</v>
      </c>
      <c r="E66" t="s">
        <v>203</v>
      </c>
      <c r="F66" t="s">
        <v>174</v>
      </c>
      <c r="G66">
        <v>0.6</v>
      </c>
      <c r="H66">
        <v>0.6</v>
      </c>
      <c r="K66" t="b">
        <v>1</v>
      </c>
      <c r="L66">
        <v>5</v>
      </c>
      <c r="M66" t="s">
        <v>277</v>
      </c>
      <c r="N66" t="s">
        <v>278</v>
      </c>
      <c r="O66" t="s">
        <v>38</v>
      </c>
      <c r="P66">
        <f t="shared" si="0"/>
        <v>0</v>
      </c>
    </row>
  </sheetData>
  <dataValidations count="1">
    <dataValidation type="list" allowBlank="1" sqref="O2:O190" xr:uid="{00000000-0002-0000-0000-000000000000}">
      <formula1>"TRUE,FALSE,UNVERIFIABLE"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C4" sqref="C4"/>
    </sheetView>
  </sheetViews>
  <sheetFormatPr defaultRowHeight="14.5" x14ac:dyDescent="0.35"/>
  <cols>
    <col min="1" max="1" width="28" customWidth="1"/>
  </cols>
  <sheetData>
    <row r="1" spans="1:6" x14ac:dyDescent="0.35">
      <c r="A1" t="s">
        <v>188</v>
      </c>
      <c r="B1">
        <f>IFERROR(SUM(Claims!P:P)/COUNT(Claims!P:P),"")</f>
        <v>0.76923076923076927</v>
      </c>
    </row>
    <row r="3" spans="1:6" x14ac:dyDescent="0.35">
      <c r="A3" t="s">
        <v>189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</row>
    <row r="4" spans="1:6" x14ac:dyDescent="0.35">
      <c r="A4" t="s">
        <v>20</v>
      </c>
      <c r="B4" cm="1">
        <f t="array" ref="B4">SUMPRODUCT((Claims!$F$2:$F$490&amp;""=A4)*(Claims!$O$2:$O$490&amp;""&lt;&gt;""))</f>
        <v>31</v>
      </c>
      <c r="C4" cm="1">
        <f t="array" ref="C4">SUMPRODUCT(--(Claims!$O$2:$O$500&amp;""=A4))</f>
        <v>36</v>
      </c>
      <c r="D4" cm="1">
        <f t="array" ref="D4">SUMPRODUCT((Claims!$F$2:$F$500&amp;""=A4)*(Claims!$O$2:$O$500&amp;""=A4))</f>
        <v>29</v>
      </c>
      <c r="E4">
        <f>IFERROR(D4/B4,"")</f>
        <v>0.93548387096774188</v>
      </c>
      <c r="F4">
        <f>IFERROR(D4/C4,"")</f>
        <v>0.80555555555555558</v>
      </c>
    </row>
    <row r="5" spans="1:6" x14ac:dyDescent="0.35">
      <c r="A5" t="s">
        <v>174</v>
      </c>
      <c r="B5" cm="1">
        <f t="array" ref="B5">SUMPRODUCT((Claims!$F$2:$F$490&amp;""=A5)*(Claims!$O$2:$O$490&amp;""&lt;&gt;""))</f>
        <v>21</v>
      </c>
      <c r="C5" cm="1">
        <f t="array" ref="C5">SUMPRODUCT(--(Claims!$O$2:$O$490&amp;""=A5))</f>
        <v>16</v>
      </c>
      <c r="D5">
        <f>COUNTIFS(Claims!F:F,A5,Claims!O:O,A5)</f>
        <v>0</v>
      </c>
      <c r="E5">
        <f>IFERROR(D5/B5,"")</f>
        <v>0</v>
      </c>
      <c r="F5">
        <f>IFERROR(D5/C5,"")</f>
        <v>0</v>
      </c>
    </row>
    <row r="6" spans="1:6" x14ac:dyDescent="0.35">
      <c r="A6" t="s">
        <v>38</v>
      </c>
      <c r="B6" cm="1">
        <f t="array" ref="B6">SUMPRODUCT((Claims!$F$2:$F$490&amp;""=A6)*(Claims!$O$2:$O$490&amp;""&lt;&gt;""))</f>
        <v>13</v>
      </c>
      <c r="C6" cm="1">
        <f t="array" ref="C6">SUMPRODUCT(--(Claims!$O$2:$O$490&amp;""=A6))</f>
        <v>13</v>
      </c>
      <c r="D6">
        <f>COUNTIFS(Claims!F:F,A6,Claims!O:O,A6)</f>
        <v>6</v>
      </c>
      <c r="E6">
        <f>IFERROR(D6/B6,"")</f>
        <v>0.46153846153846156</v>
      </c>
      <c r="F6">
        <f>IFERROR(D6/C6,"")</f>
        <v>0.46153846153846156</v>
      </c>
    </row>
    <row r="8" spans="1:6" x14ac:dyDescent="0.35">
      <c r="A8" t="s">
        <v>195</v>
      </c>
      <c r="B8" t="s">
        <v>196</v>
      </c>
      <c r="C8" t="s">
        <v>197</v>
      </c>
    </row>
    <row r="9" spans="1:6" x14ac:dyDescent="0.35">
      <c r="A9" t="s">
        <v>198</v>
      </c>
      <c r="B9">
        <f>IFERROR(AVERAGEIFS(Claims!G:G,Claims!P:P,1),"")</f>
        <v>0.66248000000000018</v>
      </c>
      <c r="C9">
        <f>IFERROR(AVERAGEIFS(Claims!H:H,Claims!P:P,1),"")</f>
        <v>0.65518000000000032</v>
      </c>
    </row>
    <row r="10" spans="1:6" x14ac:dyDescent="0.35">
      <c r="A10" t="s">
        <v>199</v>
      </c>
      <c r="B10">
        <f>IFERROR(AVERAGEIFS(Claims!G:G,Claims!P:P,0),"")</f>
        <v>0.36679999999999996</v>
      </c>
      <c r="C10">
        <f>IFERROR(AVERAGEIFS(Claims!H:H,Claims!P:P,0),"")</f>
        <v>0.36679999999999996</v>
      </c>
    </row>
    <row r="11" spans="1:6" x14ac:dyDescent="0.35">
      <c r="A11" t="s">
        <v>200</v>
      </c>
      <c r="B11">
        <f>IFERROR(B9-B10,"")</f>
        <v>0.29568000000000022</v>
      </c>
      <c r="C11">
        <f>IFERROR(C9-C10,"")</f>
        <v>0.28838000000000036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YAMINI VIJAYA SRINATH</cp:lastModifiedBy>
  <dcterms:created xsi:type="dcterms:W3CDTF">2026-10-24T10:18:30Z</dcterms:created>
  <dcterms:modified xsi:type="dcterms:W3CDTF">2026-10-25T11:06:22Z</dcterms:modified>
</cp:coreProperties>
</file>