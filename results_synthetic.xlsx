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cols>
    <col width="60" customWidth="1" min="3" max="3"/>
    <col width="50" customWidth="1" min="13" max="13"/>
    <col width="40" customWidth="1" min="14" max="14"/>
  </cols>
  <sheetData>
    <row r="1">
      <c r="A1" s="1" t="inlineStr">
        <is>
          <t>video_id</t>
        </is>
      </c>
      <c r="B1" s="1" t="inlineStr">
        <is>
          <t>claim_id</t>
        </is>
      </c>
      <c r="C1" s="1" t="inlineStr">
        <is>
          <t>claim_text</t>
        </is>
      </c>
      <c r="D1" s="1" t="inlineStr">
        <is>
          <t>category</t>
        </is>
      </c>
      <c r="E1" s="1" t="inlineStr">
        <is>
          <t>time</t>
        </is>
      </c>
      <c r="F1" s="1" t="inlineStr">
        <is>
          <t>system_verdict</t>
        </is>
      </c>
      <c r="G1" s="1" t="inlineStr">
        <is>
          <t>confidence</t>
        </is>
      </c>
      <c r="H1" s="1" t="inlineStr">
        <is>
          <t>confidence_without_nli</t>
        </is>
      </c>
      <c r="I1" s="1" t="inlineStr">
        <is>
          <t>nli_agreement</t>
        </is>
      </c>
      <c r="J1" s="1" t="inlineStr">
        <is>
          <t>nli_adjustment</t>
        </is>
      </c>
      <c r="K1" s="1" t="inlineStr">
        <is>
          <t>conflict_capped</t>
        </is>
      </c>
      <c r="L1" s="1" t="inlineStr">
        <is>
          <t>n_sources</t>
        </is>
      </c>
      <c r="M1" s="1" t="inlineStr">
        <is>
          <t>summary</t>
        </is>
      </c>
      <c r="N1" s="1" t="inlineStr">
        <is>
          <t>cited_urls</t>
        </is>
      </c>
      <c r="O1" s="1" t="inlineStr">
        <is>
          <t>gold_label</t>
        </is>
      </c>
      <c r="P1" s="1" t="inlineStr">
        <is>
          <t>correct</t>
        </is>
      </c>
    </row>
    <row r="2">
      <c r="A2" t="inlineStr">
        <is>
          <t>synthetic</t>
        </is>
      </c>
      <c r="B2" t="n">
        <v>1</v>
      </c>
      <c r="C2" t="inlineStr">
        <is>
          <t>The human esophagus is about 60 centimeters long.</t>
        </is>
      </c>
      <c r="D2" t="inlineStr">
        <is>
          <t>Science</t>
        </is>
      </c>
      <c r="E2" t="inlineStr">
        <is>
          <t>00:00-00:00</t>
        </is>
      </c>
      <c r="F2" t="inlineStr">
        <is>
          <t>FALSE</t>
        </is>
      </c>
      <c r="G2" t="n">
        <v>0.825</v>
      </c>
      <c r="H2" t="n">
        <v>0.825</v>
      </c>
      <c r="K2" t="b">
        <v>0</v>
      </c>
      <c r="L2" t="n">
        <v>4</v>
      </c>
      <c r="M2" t="inlineStr">
        <is>
          <t>False – the human esophagus is about 25 cm long, not 60 cm.</t>
        </is>
      </c>
      <c r="N2" t="inlineStr">
        <is>
          <t>https://en.wikipedia.org/wiki/Esophagus
https://hypertextbook.com/facts/2001/JenniferTran.shtml
https://www.leading-medicine-guide.com/en/anatomy/esophagus
https://emedicine.medscape.com/article/1948973-overview</t>
        </is>
      </c>
      <c r="O2" t="inlineStr">
        <is>
          <t>FALSE</t>
        </is>
      </c>
      <c r="P2">
        <f>IF(O2="","",IF(O2&amp;""=F2&amp;"",1,0))</f>
        <v/>
      </c>
    </row>
    <row r="3">
      <c r="A3" t="inlineStr">
        <is>
          <t>synthetic</t>
        </is>
      </c>
      <c r="B3" t="n">
        <v>2</v>
      </c>
      <c r="C3" t="inlineStr">
        <is>
          <t>Edward Jenner gave the first smallpox vaccine in 1850.</t>
        </is>
      </c>
      <c r="D3" t="inlineStr">
        <is>
          <t>History</t>
        </is>
      </c>
      <c r="E3" t="inlineStr">
        <is>
          <t>00:00-00:00</t>
        </is>
      </c>
      <c r="F3" t="inlineStr">
        <is>
          <t>FALSE</t>
        </is>
      </c>
      <c r="G3" t="n">
        <v>0.642</v>
      </c>
      <c r="H3" t="n">
        <v>0.642</v>
      </c>
      <c r="K3" t="b">
        <v>0</v>
      </c>
      <c r="L3" t="n">
        <v>5</v>
      </c>
      <c r="M3" t="inlineStr">
        <is>
          <t>False – Jenner introduced the smallpox vaccine in the late 1700s, not in 1850.</t>
        </is>
      </c>
      <c r="N3" t="inlineStr">
        <is>
          <t>https://en.wikipedia.org/wiki/Edward_Jenner
https://www.ebsco.com/research-starters/history/jenner-develops-smallpox-vaccination
https://www.mayoclinic.org/diseases-conditions/history-disease-outbreaks-vaccine-timeline/smallpox
https://www.frontiersin.org/journals/immunology/articles/10.3389/fimmu.2011.00021/full
https://www.mcgill.ca/oss/article/medical-critical-thinking-history/white-lie-heart-vaccine-history</t>
        </is>
      </c>
      <c r="O3" t="inlineStr">
        <is>
          <t>FALSE</t>
        </is>
      </c>
      <c r="P3">
        <f>IF(O3="","",IF(O3&amp;""=F3&amp;"",1,0))</f>
        <v/>
      </c>
    </row>
    <row r="4">
      <c r="A4" t="inlineStr">
        <is>
          <t>synthetic</t>
        </is>
      </c>
      <c r="B4" t="n">
        <v>3</v>
      </c>
      <c r="C4" t="inlineStr">
        <is>
          <t>The human heart has six chambers.</t>
        </is>
      </c>
      <c r="D4" t="inlineStr">
        <is>
          <t>Science</t>
        </is>
      </c>
      <c r="E4" t="inlineStr">
        <is>
          <t>00:00-00:00</t>
        </is>
      </c>
      <c r="F4" t="inlineStr">
        <is>
          <t>FALSE</t>
        </is>
      </c>
      <c r="G4" t="n">
        <v>0.762</v>
      </c>
      <c r="H4" t="n">
        <v>0.762</v>
      </c>
      <c r="K4" t="b">
        <v>0</v>
      </c>
      <c r="L4" t="n">
        <v>5</v>
      </c>
      <c r="M4" t="inlineStr">
        <is>
          <t>The human heart does not normally have six chambers.</t>
        </is>
      </c>
      <c r="N4" t="inlineStr">
        <is>
          <t>https://www.hri.org.au/health/learn/your-body/the-human-heart
https://my.clevelandclinic.org/health/body/23074-heart-chambers
https://www.mayoclinic.org/diseases-conditions/aortic-valve-disease/multimedia/chambers-and-valves-of-the-heart/img-20007497
https://www.tiktok.com/@instituteofhumananatomy/video/7579019033773608222?lang=en
https://pmc.ncbi.nlm.nih.gov/articles/PMC7733639</t>
        </is>
      </c>
      <c r="O4" t="inlineStr">
        <is>
          <t>FALSE</t>
        </is>
      </c>
      <c r="P4">
        <f>IF(O4="","",IF(O4&amp;""=F4&amp;"",1,0))</f>
        <v/>
      </c>
    </row>
    <row r="5">
      <c r="A5" t="inlineStr">
        <is>
          <t>synthetic</t>
        </is>
      </c>
      <c r="B5" t="n">
        <v>4</v>
      </c>
      <c r="C5" t="inlineStr">
        <is>
          <t>The Great Wall of China is visible to the naked eye from the Moon.</t>
        </is>
      </c>
      <c r="D5" t="inlineStr">
        <is>
          <t>Science</t>
        </is>
      </c>
      <c r="E5" t="inlineStr">
        <is>
          <t>00:00-00:00</t>
        </is>
      </c>
      <c r="F5" t="inlineStr">
        <is>
          <t>FALSE</t>
        </is>
      </c>
      <c r="G5" t="n">
        <v>0.725</v>
      </c>
      <c r="H5" t="n">
        <v>0.725</v>
      </c>
      <c r="K5" t="b">
        <v>0</v>
      </c>
      <c r="L5" t="n">
        <v>5</v>
      </c>
      <c r="M5" t="inlineStr">
        <is>
          <t>The Great Wall cannot be seen with the naked eye from the Moon.</t>
        </is>
      </c>
      <c r="N5" t="inlineStr">
        <is>
          <t>https://www.britannica.com/question/Can-you-see-the-Great-Wall-of-China-from-space
https://www.skyatnightmagazine.com/space-science/can-you-see-great-wall-china-from-space
https://www.youtube.com/watch?v=itvHEk-RwCI&amp;vl=en-US
https://www.instagram.com/reel/DY6Z-aHjSPM?hl=en
https://www.wtamu.edu/~cbaird/sq/2012/12/11/what-makes-the-great-wall-of-china-the-only-man-made-object-visible-from-space</t>
        </is>
      </c>
      <c r="O5" t="inlineStr">
        <is>
          <t>FALSE</t>
        </is>
      </c>
      <c r="P5">
        <f>IF(O5="","",IF(O5&amp;""=F5&amp;"",1,0))</f>
        <v/>
      </c>
    </row>
    <row r="6">
      <c r="A6" t="inlineStr">
        <is>
          <t>synthetic</t>
        </is>
      </c>
      <c r="B6" t="n">
        <v>5</v>
      </c>
      <c r="C6" t="inlineStr">
        <is>
          <t>Lightning never strikes the same place twice.</t>
        </is>
      </c>
      <c r="D6" t="inlineStr">
        <is>
          <t>Science</t>
        </is>
      </c>
      <c r="E6" t="inlineStr">
        <is>
          <t>00:00-00:00</t>
        </is>
      </c>
      <c r="F6" t="inlineStr">
        <is>
          <t>FALSE</t>
        </is>
      </c>
      <c r="G6" t="n">
        <v>0.827</v>
      </c>
      <c r="H6" t="n">
        <v>0.827</v>
      </c>
      <c r="K6" t="b">
        <v>0</v>
      </c>
      <c r="L6" t="n">
        <v>5</v>
      </c>
      <c r="M6" t="inlineStr">
        <is>
          <t>The claim is false: lightning can and does strike the same place more than once.</t>
        </is>
      </c>
      <c r="N6" t="inlineStr">
        <is>
          <t>https://www.britannica.com/story/can-lightning-strike-the-same-place-twice
https://www.westeamahead.org/blog/2025/2/5/mythbuster-lightning-never-strikes-the-same-place-twice
https://www.cambridge.org/core/books/fundamentals-of-lightning/is-it-true-that-lightning-never-strikes-the-same-place-twice/4A7060F55C37E1465EC837BD5C6C9F84
https://www.iii.org/article/lightning-safety-10-myths-and-the-facts
https://lpsfr.com/en/blog-lightning-never-strikes-twice</t>
        </is>
      </c>
      <c r="O6" t="inlineStr">
        <is>
          <t>FALSE</t>
        </is>
      </c>
      <c r="P6">
        <f>IF(O6="","",IF(O6&amp;""=F6&amp;"",1,0))</f>
        <v/>
      </c>
    </row>
    <row r="7">
      <c r="A7" t="inlineStr">
        <is>
          <t>synthetic</t>
        </is>
      </c>
      <c r="B7" t="n">
        <v>6</v>
      </c>
      <c r="C7" t="inlineStr">
        <is>
          <t>Humans use only 10 percent of their brains.</t>
        </is>
      </c>
      <c r="D7" t="inlineStr">
        <is>
          <t>Science</t>
        </is>
      </c>
      <c r="E7" t="inlineStr">
        <is>
          <t>00:00-00:00</t>
        </is>
      </c>
      <c r="F7" t="inlineStr">
        <is>
          <t>FALSE</t>
        </is>
      </c>
      <c r="G7" t="n">
        <v>0.827</v>
      </c>
      <c r="H7" t="n">
        <v>0.827</v>
      </c>
      <c r="K7" t="b">
        <v>0</v>
      </c>
      <c r="L7" t="n">
        <v>5</v>
      </c>
      <c r="M7" t="inlineStr">
        <is>
          <t>No, humans use far more than just 10 % of their brains.</t>
        </is>
      </c>
      <c r="N7" t="inlineStr">
        <is>
          <t>https://www.britannica.com/story/do-we-really-use-only-10-percent-of-our-brain
https://mcgovern.mit.edu/2024/01/26/do-we-use-only-10-percent-of-our-brain
https://www.scientificamerican.com/article/do-people-only-use-10-percent-of-their-brains
https://uamshealth.com/medical-myths/do-people-only-use-10-percent-of-our-brains
https://www.psychologicalscience.org/uncategorized/myth-we-only-use-10-of-our-brains.html</t>
        </is>
      </c>
      <c r="O7" t="inlineStr">
        <is>
          <t>FALSE</t>
        </is>
      </c>
      <c r="P7">
        <f>IF(O7="","",IF(O7&amp;""=F7&amp;"",1,0))</f>
        <v/>
      </c>
    </row>
    <row r="8">
      <c r="A8" t="inlineStr">
        <is>
          <t>synthetic</t>
        </is>
      </c>
      <c r="B8" t="n">
        <v>7</v>
      </c>
      <c r="C8" t="inlineStr">
        <is>
          <t>The Sun orbits the Earth once a year.</t>
        </is>
      </c>
      <c r="D8" t="inlineStr">
        <is>
          <t>Science</t>
        </is>
      </c>
      <c r="E8" t="inlineStr">
        <is>
          <t>00:00-00:00</t>
        </is>
      </c>
      <c r="F8" t="inlineStr">
        <is>
          <t>FALSE</t>
        </is>
      </c>
      <c r="G8" t="n">
        <v>0.762</v>
      </c>
      <c r="H8" t="n">
        <v>0.762</v>
      </c>
      <c r="K8" t="b">
        <v>0</v>
      </c>
      <c r="L8" t="n">
        <v>4</v>
      </c>
      <c r="M8" t="inlineStr">
        <is>
          <t>No, the Sun does not orbit the Earth; the Earth orbits the Sun each year.</t>
        </is>
      </c>
      <c r="N8" t="inlineStr">
        <is>
          <t>https://en.wikipedia.org/wiki/Earth%27s_orbit
https://kidseclipse.com/sun-earth-moon-move
https://harpercollege.pressbooks.pub/cosmictime/chapter/9-does-the-earth-orbit-the-sun-once-a-year</t>
        </is>
      </c>
      <c r="O8" t="inlineStr">
        <is>
          <t>FALSE</t>
        </is>
      </c>
      <c r="P8">
        <f>IF(O8="","",IF(O8&amp;""=F8&amp;"",1,0))</f>
        <v/>
      </c>
    </row>
    <row r="9">
      <c r="A9" t="inlineStr">
        <is>
          <t>synthetic</t>
        </is>
      </c>
      <c r="B9" t="n">
        <v>8</v>
      </c>
      <c r="C9" t="inlineStr">
        <is>
          <t>Vaccines cause autism.</t>
        </is>
      </c>
      <c r="D9" t="inlineStr">
        <is>
          <t>Health</t>
        </is>
      </c>
      <c r="E9" t="inlineStr">
        <is>
          <t>00:00-00:00</t>
        </is>
      </c>
      <c r="F9" t="inlineStr">
        <is>
          <t>FALSE</t>
        </is>
      </c>
      <c r="G9" t="n">
        <v>0.787</v>
      </c>
      <c r="H9" t="n">
        <v>0.787</v>
      </c>
      <c r="K9" t="b">
        <v>0</v>
      </c>
      <c r="L9" t="n">
        <v>5</v>
      </c>
      <c r="M9" t="inlineStr">
        <is>
          <t>Vaccines do not cause autism.</t>
        </is>
      </c>
      <c r="N9" t="inlineStr">
        <is>
          <t>https://www.factcheck.org/2025/11/revised-cdc-website-about-autism-and-vaccines-is-not-evidence-based
https://www.autismspeaks.org/do-vaccines-cause-autism
https://media.chop.edu/data/files/pdfs/vaccine-education-center-autism.pdf
https://www.vaccinesafety.edu/do-vaccines-cause-autism
https://www.aap.org/en/news-room/fact-checked/fact-checked-vaccines-safe-and-effect-no-link-to-autism</t>
        </is>
      </c>
      <c r="O9" t="inlineStr">
        <is>
          <t>FALSE</t>
        </is>
      </c>
      <c r="P9">
        <f>IF(O9="","",IF(O9&amp;""=F9&amp;"",1,0))</f>
        <v/>
      </c>
    </row>
    <row r="10">
      <c r="A10" t="inlineStr">
        <is>
          <t>synthetic</t>
        </is>
      </c>
      <c r="B10" t="n">
        <v>9</v>
      </c>
      <c r="C10" t="inlineStr">
        <is>
          <t>Water boils at 50 degrees Celsius at sea level.</t>
        </is>
      </c>
      <c r="D10" t="inlineStr">
        <is>
          <t>Science</t>
        </is>
      </c>
      <c r="E10" t="inlineStr">
        <is>
          <t>00:00-00:00</t>
        </is>
      </c>
      <c r="F10" t="inlineStr">
        <is>
          <t>FALSE</t>
        </is>
      </c>
      <c r="G10" t="n">
        <v>0.825</v>
      </c>
      <c r="H10" t="n">
        <v>0.825</v>
      </c>
      <c r="K10" t="b">
        <v>0</v>
      </c>
      <c r="L10" t="n">
        <v>5</v>
      </c>
      <c r="M10" t="inlineStr">
        <is>
          <t>Water does not boil at 50 °C at sea level; it boils at about 100 °C.</t>
        </is>
      </c>
      <c r="N10" t="inlineStr">
        <is>
          <t>https://en.wikipedia.org/wiki/Boiling_point
https://www.ebsco.com/research-starters/science/boiling-points
https://www.compoundchem.com/2016/03/22/boiling-point
https://www.pewresearch.org/short-reads/2015/09/14/does-waters-boiling-point-change-with-altitude-americans-arent-sure</t>
        </is>
      </c>
      <c r="O10" t="inlineStr">
        <is>
          <t>FALSE</t>
        </is>
      </c>
      <c r="P10">
        <f>IF(O10="","",IF(O10&amp;""=F10&amp;"",1,0))</f>
        <v/>
      </c>
    </row>
    <row r="11">
      <c r="A11" t="inlineStr">
        <is>
          <t>synthetic</t>
        </is>
      </c>
      <c r="B11" t="n">
        <v>10</v>
      </c>
      <c r="C11" t="inlineStr">
        <is>
          <t>The Earth is only about 6,000 years old.</t>
        </is>
      </c>
      <c r="D11" t="inlineStr">
        <is>
          <t>Science</t>
        </is>
      </c>
      <c r="E11" t="inlineStr">
        <is>
          <t>00:00-00:00</t>
        </is>
      </c>
      <c r="F11" t="inlineStr">
        <is>
          <t>UNVERIFIABLE</t>
        </is>
      </c>
      <c r="G11" t="n">
        <v>0</v>
      </c>
      <c r="H11" t="n">
        <v>0</v>
      </c>
      <c r="L11" t="n">
        <v>4</v>
      </c>
      <c r="M11" t="inlineStr">
        <is>
          <t>The claim that Earth is only about 6,000 years old cannot be confirmed from these sources.</t>
        </is>
      </c>
      <c r="N11" t="inlineStr">
        <is>
          <t>https://en.wikipedia.org/wiki/Young_Earth_creationism
https://sites.nd.edu/james-applewhite/2020/03/22/age-of-our-earth
https://answersingenesis.org/evidence-for-creation/six-evidences-of-young-earth
https://peacefulscience.org/prints/origns-yec</t>
        </is>
      </c>
      <c r="O11" t="inlineStr">
        <is>
          <t>FALSE</t>
        </is>
      </c>
      <c r="P11">
        <f>IF(O11="","",IF(O11&amp;""=F11&amp;"",1,0))</f>
        <v/>
      </c>
    </row>
    <row r="12">
      <c r="A12" t="inlineStr">
        <is>
          <t>synthetic</t>
        </is>
      </c>
      <c r="B12" t="n">
        <v>11</v>
      </c>
      <c r="C12" t="inlineStr">
        <is>
          <t>Mount Everest is located in Brazil.</t>
        </is>
      </c>
      <c r="D12" t="inlineStr">
        <is>
          <t>General</t>
        </is>
      </c>
      <c r="E12" t="inlineStr">
        <is>
          <t>00:00-00:00</t>
        </is>
      </c>
      <c r="F12" t="inlineStr">
        <is>
          <t>FALSE</t>
        </is>
      </c>
      <c r="G12" t="n">
        <v>0.8080000000000001</v>
      </c>
      <c r="H12" t="n">
        <v>0.8080000000000001</v>
      </c>
      <c r="K12" t="b">
        <v>0</v>
      </c>
      <c r="L12" t="n">
        <v>5</v>
      </c>
      <c r="M12" t="inlineStr">
        <is>
          <t>Mount Everest is not in Brazil.</t>
        </is>
      </c>
      <c r="N12" t="inlineStr">
        <is>
          <t>https://www.britannica.com/place/Mount-Everest
https://highlandexpeditions.com/where-is-mount-everest-located
https://indexadventure.com/blog/where-is-mount-everest-located</t>
        </is>
      </c>
      <c r="O12" t="inlineStr">
        <is>
          <t>FALSE</t>
        </is>
      </c>
      <c r="P12">
        <f>IF(O12="","",IF(O12&amp;""=F12&amp;"",1,0))</f>
        <v/>
      </c>
    </row>
    <row r="13">
      <c r="A13" t="inlineStr">
        <is>
          <t>synthetic</t>
        </is>
      </c>
      <c r="B13" t="n">
        <v>12</v>
      </c>
      <c r="C13" t="inlineStr">
        <is>
          <t>Antibiotics are effective against viral infections such as the common cold.</t>
        </is>
      </c>
      <c r="D13" t="inlineStr">
        <is>
          <t>Health</t>
        </is>
      </c>
      <c r="E13" t="inlineStr">
        <is>
          <t>00:00-00:00</t>
        </is>
      </c>
      <c r="F13" t="inlineStr">
        <is>
          <t>FALSE</t>
        </is>
      </c>
      <c r="G13" t="n">
        <v>0.8120000000000001</v>
      </c>
      <c r="H13" t="n">
        <v>0.8120000000000001</v>
      </c>
      <c r="K13" t="b">
        <v>0</v>
      </c>
      <c r="L13" t="n">
        <v>5</v>
      </c>
      <c r="M13" t="inlineStr">
        <is>
          <t>Antibiotics do not work against viral infections like the common cold.</t>
        </is>
      </c>
      <c r="N13" t="inlineStr">
        <is>
          <t>https://health.mountsinai.org/blog/are-antibiotics-necessary-for-common-cold-2
https://www.urmc.rochester.edu/news/publications/health-matters/%E2%80%98tis-the-season-colds-flu-and-superbugs
https://www.youtube.com/watch?v=652eiZmrXz4
https://www.upmc.com/healthbeat/respiratory-illness/virus-bacteria-cold-cause
https://www.mayoclinichealthsystem.org/hometown-health/speaking-of-health/3-reasons-why-you-did-not-receive-antibiotics-from-your-provider</t>
        </is>
      </c>
      <c r="O13" t="inlineStr">
        <is>
          <t>FALSE</t>
        </is>
      </c>
      <c r="P13">
        <f>IF(O13="","",IF(O13&amp;""=F13&amp;"",1,0))</f>
        <v/>
      </c>
    </row>
    <row r="14">
      <c r="A14" t="inlineStr">
        <is>
          <t>synthetic</t>
        </is>
      </c>
      <c r="B14" t="n">
        <v>13</v>
      </c>
      <c r="C14" t="inlineStr">
        <is>
          <t>An adult human has 306 bones.</t>
        </is>
      </c>
      <c r="D14" t="inlineStr">
        <is>
          <t>Science</t>
        </is>
      </c>
      <c r="E14" t="inlineStr">
        <is>
          <t>00:00-00:00</t>
        </is>
      </c>
      <c r="F14" t="inlineStr">
        <is>
          <t>FALSE</t>
        </is>
      </c>
      <c r="G14" t="n">
        <v>0.629</v>
      </c>
      <c r="H14" t="n">
        <v>0.629</v>
      </c>
      <c r="K14" t="b">
        <v>0</v>
      </c>
      <c r="L14" t="n">
        <v>5</v>
      </c>
      <c r="M14" t="inlineStr">
        <is>
          <t>Adults do not have 306 bones; they typically have about 206.</t>
        </is>
      </c>
      <c r="N14" t="inlineStr">
        <is>
          <t>https://www.livescience.com/health/how-common-is-it-to-have-extra-bones-in-your-skeleton
https://www.sciencefocus.com/the-human-body/how-many-bones-do-people-have
https://www.instagram.com/reel/DJE-jvjtPwr?hl=en
https://theconversation.com/six-fun-facts-about-the-human-skeleton-123711
https://acibademinternational.com/blog/how-many-bones-in-the-human-body-a-skeletons-inventory</t>
        </is>
      </c>
      <c r="O14" t="inlineStr">
        <is>
          <t>FALSE</t>
        </is>
      </c>
      <c r="P14">
        <f>IF(O14="","",IF(O14&amp;""=F14&amp;"",1,0))</f>
        <v/>
      </c>
    </row>
    <row r="15">
      <c r="A15" t="inlineStr">
        <is>
          <t>synthetic</t>
        </is>
      </c>
      <c r="B15" t="n">
        <v>14</v>
      </c>
      <c r="C15" t="inlineStr">
        <is>
          <t>The Pacific Ocean is the smallest ocean on Earth.</t>
        </is>
      </c>
      <c r="D15" t="inlineStr">
        <is>
          <t>General</t>
        </is>
      </c>
      <c r="E15" t="inlineStr">
        <is>
          <t>00:00-00:00</t>
        </is>
      </c>
      <c r="F15" t="inlineStr">
        <is>
          <t>FALSE</t>
        </is>
      </c>
      <c r="G15" t="n">
        <v>0.799</v>
      </c>
      <c r="H15" t="n">
        <v>0.799</v>
      </c>
      <c r="K15" t="b">
        <v>0</v>
      </c>
      <c r="L15" t="n">
        <v>5</v>
      </c>
      <c r="M15" t="inlineStr">
        <is>
          <t>The Pacific Ocean is not the smallest; it is the largest ocean.</t>
        </is>
      </c>
      <c r="N15" t="inlineStr">
        <is>
          <t>https://en.wikipedia.org/wiki/Pacific_Ocean
https://www.worldatlas.com/oceans/pacific-ocean.html
https://www.newworldencyclopedia.org/entry/Pacific_Ocean
https://www.bluereefaquarium.co.uk/portsmouth/blog/education/what-is-the-smallest-ocean-in-the-world
https://www.nationalgeographic.com/environment/article/pacific-ocean</t>
        </is>
      </c>
      <c r="O15" t="inlineStr">
        <is>
          <t>FALSE</t>
        </is>
      </c>
      <c r="P15">
        <f>IF(O15="","",IF(O15&amp;""=F15&amp;"",1,0))</f>
        <v/>
      </c>
    </row>
    <row r="16">
      <c r="A16" t="inlineStr">
        <is>
          <t>synthetic</t>
        </is>
      </c>
      <c r="B16" t="n">
        <v>15</v>
      </c>
      <c r="C16" t="inlineStr">
        <is>
          <t>Vitamin C cures cancer.</t>
        </is>
      </c>
      <c r="D16" t="inlineStr">
        <is>
          <t>Health</t>
        </is>
      </c>
      <c r="E16" t="inlineStr">
        <is>
          <t>00:00-00:00</t>
        </is>
      </c>
      <c r="F16" t="inlineStr">
        <is>
          <t>FALSE</t>
        </is>
      </c>
      <c r="G16" t="n">
        <v>0.6</v>
      </c>
      <c r="H16" t="n">
        <v>0.6</v>
      </c>
      <c r="K16" t="b">
        <v>1</v>
      </c>
      <c r="L16" t="n">
        <v>5</v>
      </c>
      <c r="M16" t="inlineStr">
        <is>
          <t>Vitamin C does not cure cancer.</t>
        </is>
      </c>
      <c r="N16" t="inlineStr">
        <is>
          <t>https://www.mayoclinic.org/diseases-conditions/cancer/expert-answers/alternative-cancer-treatment/faq-20057968
https://pmc.ncbi.nlm.nih.gov/articles/PMC9231292
https://blog.dana-farber.org/insight/2025/04/vitamin-c-triggers-cancer-immune-response
https://sunridgemedical.com/high-dose-vitamin-c-for-cancer
https://medicineiowa.org/spring-2025/c-believe</t>
        </is>
      </c>
      <c r="O16" t="inlineStr">
        <is>
          <t>FALSE</t>
        </is>
      </c>
      <c r="P16">
        <f>IF(O16="","",IF(O16&amp;""=F16&amp;"",1,0))</f>
        <v/>
      </c>
    </row>
    <row r="17">
      <c r="A17" t="inlineStr">
        <is>
          <t>synthetic</t>
        </is>
      </c>
      <c r="B17" t="n">
        <v>16</v>
      </c>
      <c r="C17" t="inlineStr">
        <is>
          <t>Coffee is bad for your health.</t>
        </is>
      </c>
      <c r="D17" t="inlineStr">
        <is>
          <t>Health</t>
        </is>
      </c>
      <c r="E17" t="inlineStr">
        <is>
          <t>00:00-00:00</t>
        </is>
      </c>
      <c r="F17" t="inlineStr">
        <is>
          <t>FALSE</t>
        </is>
      </c>
      <c r="G17" t="n">
        <v>0.6870000000000001</v>
      </c>
      <c r="H17" t="n">
        <v>0.6870000000000001</v>
      </c>
      <c r="K17" t="b">
        <v>0</v>
      </c>
      <c r="L17" t="n">
        <v>5</v>
      </c>
      <c r="M17" t="inlineStr">
        <is>
          <t>Coffee is not bad for your health.</t>
        </is>
      </c>
      <c r="N17" t="inlineStr">
        <is>
          <t>https://utswmed.org/medblog/is-coffee-good-for-you
https://www.mayoclinic.org/healthy-lifestyle/nutrition-and-healthy-eating/expert-answers/coffee-and-health/faq-20058339
https://pmc.ncbi.nlm.nih.gov/articles/PMC12348139
https://www.heartandstroke.ca/articles/myths-and-truths-about-coffee
https://www.ramsayhealth.co.uk/blog/lifestyle/drinking-coffee---the-good-the-bad-and-the-ugly</t>
        </is>
      </c>
      <c r="O17" t="inlineStr">
        <is>
          <t>UNVERIFIABLE</t>
        </is>
      </c>
      <c r="P17">
        <f>IF(O17="","",IF(O17&amp;""=F17&amp;"",1,0))</f>
        <v/>
      </c>
    </row>
    <row r="18">
      <c r="A18" t="inlineStr">
        <is>
          <t>synthetic</t>
        </is>
      </c>
      <c r="B18" t="n">
        <v>17</v>
      </c>
      <c r="C18" t="inlineStr">
        <is>
          <t>Eating eggs causes heart disease.</t>
        </is>
      </c>
      <c r="D18" t="inlineStr">
        <is>
          <t>Health</t>
        </is>
      </c>
      <c r="E18" t="inlineStr">
        <is>
          <t>00:00-00:00</t>
        </is>
      </c>
      <c r="F18" t="inlineStr">
        <is>
          <t>FALSE</t>
        </is>
      </c>
      <c r="G18" t="n">
        <v>0.6</v>
      </c>
      <c r="H18" t="n">
        <v>0.6</v>
      </c>
      <c r="K18" t="b">
        <v>1</v>
      </c>
      <c r="L18" t="n">
        <v>5</v>
      </c>
      <c r="M18" t="inlineStr">
        <is>
          <t>Eggs do not cause heart disease.</t>
        </is>
      </c>
      <c r="N18" t="inlineStr">
        <is>
          <t>https://www.mayoclinic.org/diseases-conditions/high-blood-cholesterol/expert-answers/cholesterol/faq-20058468
https://health.clevelandclinic.org/how-many-eggs-can-you-eat-on-a-heart-healthy-diet
https://www.bhf.org.uk/informationsupport/heart-matters-magazine/news/behind-the-headlines/eggs-and-heart-disease
https://im-health.com/the-truth-about-eggs-debunking-the-myths-and-understanding-the-facts
https://www.pharmacytimes.com/view/fun-fact-researchers-crack-the-myth-of-high-cholesterol-and-eggs</t>
        </is>
      </c>
      <c r="O18" t="inlineStr">
        <is>
          <t>UNVERIFIABLE</t>
        </is>
      </c>
      <c r="P18">
        <f>IF(O18="","",IF(O18&amp;""=F18&amp;"",1,0))</f>
        <v/>
      </c>
    </row>
    <row r="19">
      <c r="A19" t="inlineStr">
        <is>
          <t>synthetic</t>
        </is>
      </c>
      <c r="B19" t="n">
        <v>18</v>
      </c>
      <c r="C19" t="inlineStr">
        <is>
          <t>Organic food is healthier than conventional food.</t>
        </is>
      </c>
      <c r="D19" t="inlineStr">
        <is>
          <t>Health</t>
        </is>
      </c>
      <c r="E19" t="inlineStr">
        <is>
          <t>00:00-00:00</t>
        </is>
      </c>
      <c r="F19" t="inlineStr">
        <is>
          <t>UNVERIFIABLE</t>
        </is>
      </c>
      <c r="G19" t="n">
        <v>0</v>
      </c>
      <c r="H19" t="n">
        <v>0</v>
      </c>
      <c r="L19" t="n">
        <v>4</v>
      </c>
      <c r="M19" t="inlineStr">
        <is>
          <t>Evidence does not show that organic food is definitively healthier than conventional food.</t>
        </is>
      </c>
      <c r="N19" t="inlineStr">
        <is>
          <t>https://pmc.ncbi.nlm.nih.gov/articles/PMC10987935
https://www.mayoclinic.org/healthy-lifestyle/nutrition-and-healthy-eating/in-depth/organic-food/art-20043880
https://www.catholichealthli.org/blog/organic-food-really-better-you
https://geneticliteracyproject.org/gmo-faq/are-organic-foods-healthier-than-conventional-foods</t>
        </is>
      </c>
      <c r="O19" t="inlineStr">
        <is>
          <t>UNVERIFIABLE</t>
        </is>
      </c>
      <c r="P19">
        <f>IF(O19="","",IF(O19&amp;""=F19&amp;"",1,0))</f>
        <v/>
      </c>
    </row>
    <row r="20">
      <c r="A20" t="inlineStr">
        <is>
          <t>synthetic</t>
        </is>
      </c>
      <c r="B20" t="n">
        <v>19</v>
      </c>
      <c r="C20" t="inlineStr">
        <is>
          <t>Red wine is good for your heart.</t>
        </is>
      </c>
      <c r="D20" t="inlineStr">
        <is>
          <t>Health</t>
        </is>
      </c>
      <c r="E20" t="inlineStr">
        <is>
          <t>00:00-00:00</t>
        </is>
      </c>
      <c r="F20" t="inlineStr">
        <is>
          <t>UNVERIFIABLE</t>
        </is>
      </c>
      <c r="G20" t="n">
        <v>0</v>
      </c>
      <c r="H20" t="n">
        <v>0</v>
      </c>
      <c r="L20" t="n">
        <v>4</v>
      </c>
      <c r="M20" t="inlineStr">
        <is>
          <t>Research does not confirm that red wine is good for heart health.</t>
        </is>
      </c>
      <c r="N20" t="inlineStr">
        <is>
          <t>https://www.heart.org/en/news/2019/05/24/drinking-red-wine-for-heart-health-read-this-before-you-toast
https://www.mayoclinic.org/diseases-conditions/heart-disease/in-depth/red-wine/art-20048281
https://www.massgeneralbrigham.org/en/health-wellness/red-wine-good-for-heart
https://www.health.harvard.edu/blog/is-red-wine-good-actually-for-your-heart-2018021913285</t>
        </is>
      </c>
      <c r="O20" t="inlineStr">
        <is>
          <t>UNVERIFIABLE</t>
        </is>
      </c>
      <c r="P20">
        <f>IF(O20="","",IF(O20&amp;""=F20&amp;"",1,0))</f>
        <v/>
      </c>
    </row>
    <row r="21">
      <c r="A21" t="inlineStr">
        <is>
          <t>synthetic</t>
        </is>
      </c>
      <c r="B21" t="n">
        <v>20</v>
      </c>
      <c r="C21" t="inlineStr">
        <is>
          <t>Cell phones cause brain cancer.</t>
        </is>
      </c>
      <c r="D21" t="inlineStr">
        <is>
          <t>Health</t>
        </is>
      </c>
      <c r="E21" t="inlineStr">
        <is>
          <t>00:00-00:00</t>
        </is>
      </c>
      <c r="F21" t="inlineStr">
        <is>
          <t>FALSE</t>
        </is>
      </c>
      <c r="G21" t="n">
        <v>0.711</v>
      </c>
      <c r="H21" t="n">
        <v>0.711</v>
      </c>
      <c r="K21" t="b">
        <v>0</v>
      </c>
      <c r="L21" t="n">
        <v>4</v>
      </c>
      <c r="M21" t="inlineStr">
        <is>
          <t>Cell phones do not cause brain cancer.</t>
        </is>
      </c>
      <c r="N21" t="inlineStr">
        <is>
          <t>https://blog.dana-farber.org/insight/2026/03/cellphones-cause-cancer
https://www.cancer.gov/about-cancer/causes-prevention/risk/radiation/cell-phones-fact-sheet
https://hsph.harvard.edu/news/cell-phones-dont-cause-brain-cancer-study
https://www.cancer.org/cancer/risk-prevention/radiation-exposure/cellular-phones.html</t>
        </is>
      </c>
      <c r="O21" t="inlineStr">
        <is>
          <t>UNVERIFIABLE</t>
        </is>
      </c>
      <c r="P21">
        <f>IF(O21="","",IF(O21&amp;""=F21&amp;"",1,0))</f>
        <v/>
      </c>
    </row>
    <row r="22">
      <c r="A22" t="inlineStr">
        <is>
          <t>synthetic</t>
        </is>
      </c>
      <c r="B22" t="n">
        <v>21</v>
      </c>
      <c r="C22" t="inlineStr">
        <is>
          <t>Artificial sweeteners cause cancer in humans.</t>
        </is>
      </c>
      <c r="D22" t="inlineStr">
        <is>
          <t>Health</t>
        </is>
      </c>
      <c r="E22" t="inlineStr">
        <is>
          <t>00:00-00:00</t>
        </is>
      </c>
      <c r="F22" t="inlineStr">
        <is>
          <t>FALSE</t>
        </is>
      </c>
      <c r="G22" t="n">
        <v>0.6</v>
      </c>
      <c r="H22" t="n">
        <v>0.6</v>
      </c>
      <c r="K22" t="b">
        <v>1</v>
      </c>
      <c r="L22" t="n">
        <v>5</v>
      </c>
      <c r="M22" t="inlineStr">
        <is>
          <t>Artificial sweeteners do not cause cancer in humans.</t>
        </is>
      </c>
      <c r="N22" t="inlineStr">
        <is>
          <t>https://www.cancer.gov/about-cancer/causes-prevention/risk/diet/artificial-sweeteners-fact-sheet
https://pmc.ncbi.nlm.nih.gov/articles/PMC8946744
https://www.cancerresearchuk.org/about-cancer/causes-of-cancer/cancer-myths-questions/do-artificial-sweeteners-cause-cancer
https://oncodaily.com/oncolibrary/artificial-sweeteners-cause-cancer
https://www.goodrx.com/well-being/diet-nutrition/artificial-sweeteners-saccharin-aspartame-and-cancer</t>
        </is>
      </c>
      <c r="O22" t="inlineStr">
        <is>
          <t>UNVERIFIABLE</t>
        </is>
      </c>
      <c r="P22">
        <f>IF(O22="","",IF(O22&amp;""=F22&amp;"",1,0))</f>
        <v/>
      </c>
    </row>
    <row r="23">
      <c r="A23" t="inlineStr">
        <is>
          <t>synthetic</t>
        </is>
      </c>
      <c r="B23" t="n">
        <v>22</v>
      </c>
      <c r="C23" t="inlineStr">
        <is>
          <t>Playing video games makes children more violent.</t>
        </is>
      </c>
      <c r="D23" t="inlineStr">
        <is>
          <t>Science</t>
        </is>
      </c>
      <c r="E23" t="inlineStr">
        <is>
          <t>00:00-00:00</t>
        </is>
      </c>
      <c r="F23" t="inlineStr">
        <is>
          <t>UNVERIFIABLE</t>
        </is>
      </c>
      <c r="G23" t="n">
        <v>0</v>
      </c>
      <c r="H23" t="n">
        <v>0</v>
      </c>
      <c r="L23" t="n">
        <v>5</v>
      </c>
      <c r="M23" t="inlineStr">
        <is>
          <t>Evidence on video games making children more violent is mixed and not definitive.</t>
        </is>
      </c>
      <c r="N23" t="inlineStr">
        <is>
          <t>https://en.wikipedia.org/wiki/Violence_and_video_games
https://www.oneworldeducation.org/our-students-writing/violent-video-games
https://yvpc.sph.umich.edu/video-games-influence-violent-behavior
https://magazine.wsu.edu/web-extra/the-evidence-that-video-game-violence-leads-to-real-world-aggression
https://www.health.harvard.edu/newsletter_article/violent-video-games-and-young-people.</t>
        </is>
      </c>
      <c r="O23" t="inlineStr">
        <is>
          <t>UNVERIFIABLE</t>
        </is>
      </c>
      <c r="P23">
        <f>IF(O23="","",IF(O23&amp;""=F23&amp;"",1,0))</f>
        <v/>
      </c>
    </row>
    <row r="24">
      <c r="A24" t="inlineStr">
        <is>
          <t>synthetic</t>
        </is>
      </c>
      <c r="B24" t="n">
        <v>23</v>
      </c>
      <c r="C24" t="inlineStr">
        <is>
          <t>Humans will colonize Mars by 2040.</t>
        </is>
      </c>
      <c r="D24" t="inlineStr">
        <is>
          <t>Technology</t>
        </is>
      </c>
      <c r="E24" t="inlineStr">
        <is>
          <t>00:00-00:00</t>
        </is>
      </c>
      <c r="F24" t="inlineStr">
        <is>
          <t>UNVERIFIABLE</t>
        </is>
      </c>
      <c r="G24" t="n">
        <v>0</v>
      </c>
      <c r="H24" t="n">
        <v>0</v>
      </c>
      <c r="L24" t="n">
        <v>5</v>
      </c>
      <c r="M24" t="inlineStr">
        <is>
          <t>We can't confirm humans will colonize Mars by 2040.</t>
        </is>
      </c>
      <c r="N24" t="inlineStr">
        <is>
          <t>https://en.wikipedia.org/wiki/Colonization_of_Mars
https://www.truthdig.com/articles/humans-will-never-colonize-mars-and-musk-knows-it
https://pmc.ncbi.nlm.nih.gov/articles/PMC6383964</t>
        </is>
      </c>
      <c r="O24" t="inlineStr">
        <is>
          <t>UNVERIFIABLE</t>
        </is>
      </c>
      <c r="P24">
        <f>IF(O24="","",IF(O24&amp;""=F24&amp;"",1,0))</f>
        <v/>
      </c>
    </row>
    <row r="25">
      <c r="A25" t="inlineStr">
        <is>
          <t>synthetic</t>
        </is>
      </c>
      <c r="B25" t="n">
        <v>24</v>
      </c>
      <c r="C25" t="inlineStr">
        <is>
          <t>Daily multivitamins improve the health of healthy adults.</t>
        </is>
      </c>
      <c r="D25" t="inlineStr">
        <is>
          <t>Health</t>
        </is>
      </c>
      <c r="E25" t="inlineStr">
        <is>
          <t>00:00-00:00</t>
        </is>
      </c>
      <c r="F25" t="inlineStr">
        <is>
          <t>UNVERIFIABLE</t>
        </is>
      </c>
      <c r="G25" t="n">
        <v>0</v>
      </c>
      <c r="H25" t="n">
        <v>0</v>
      </c>
      <c r="L25" t="n">
        <v>4</v>
      </c>
      <c r="M25" t="inlineStr">
        <is>
          <t>Evidence is mixed on whether daily multivitamins improve health in healthy adults.</t>
        </is>
      </c>
      <c r="N25" t="inlineStr">
        <is>
          <t>https://lpi.oregonstate.edu/research-insider/multivitamin-health-benefits
https://ods.od.nih.gov/factsheets/MVMS-HealthProfessional
https://pmc.ncbi.nlm.nih.gov/articles/PMC12921372
https://www.osfhealthcare.org/blog/do-multivitamins-work-and-should-you-take-them</t>
        </is>
      </c>
      <c r="O25" t="inlineStr">
        <is>
          <t>UNVERIFIABLE</t>
        </is>
      </c>
      <c r="P25">
        <f>IF(O25="","",IF(O25&amp;""=F25&amp;"",1,0))</f>
        <v/>
      </c>
    </row>
    <row r="26">
      <c r="A26" t="inlineStr">
        <is>
          <t>synthetic</t>
        </is>
      </c>
      <c r="B26" t="n">
        <v>25</v>
      </c>
      <c r="C26" t="inlineStr">
        <is>
          <t>Fasting is the best way to lose weight.</t>
        </is>
      </c>
      <c r="D26" t="inlineStr">
        <is>
          <t>Health</t>
        </is>
      </c>
      <c r="E26" t="inlineStr">
        <is>
          <t>00:00-00:00</t>
        </is>
      </c>
      <c r="F26" t="inlineStr">
        <is>
          <t>FALSE</t>
        </is>
      </c>
      <c r="G26" t="n">
        <v>0.6</v>
      </c>
      <c r="H26" t="n">
        <v>0.6</v>
      </c>
      <c r="K26" t="b">
        <v>1</v>
      </c>
      <c r="L26" t="n">
        <v>5</v>
      </c>
      <c r="M26" t="inlineStr">
        <is>
          <t>Fasting is not the best way to lose weight.</t>
        </is>
      </c>
      <c r="N26" t="inlineStr">
        <is>
          <t>https://dietitiansaustralia.org.au/health-advice/intermittent-fasting
https://www.mayoclinichealthsystem.org/hometown-health/speaking-of-health/intermittent-fasting-fad-or-solution
https://siuh.northwell.edu/surgery/bariatric-surgery/articles/steps-intermittent-fasting
https://pmc.ncbi.nlm.nih.gov/articles/PMC11241639
https://www.cochrane.org/about-us/news/evidence-behind-intermittent-fasting-weight-loss-fails-match-hype</t>
        </is>
      </c>
      <c r="O26" t="inlineStr">
        <is>
          <t>UNVERIFIABLE</t>
        </is>
      </c>
      <c r="P26">
        <f>IF(O26="","",IF(O26&amp;""=F26&amp;"",1,0))</f>
        <v/>
      </c>
    </row>
  </sheetData>
  <dataValidations count="1">
    <dataValidation sqref="O2:O200" showDropDown="0" showInputMessage="0" showErrorMessage="0" allowBlank="1" type="list">
      <formula1>"TRUE,FALSE,UNVERIFIABLE"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t="inlineStr">
        <is>
          <t>Accuracy (labelled claims)</t>
        </is>
      </c>
      <c r="B1">
        <f>IFERROR(SUM(Claims!P:P)/COUNT(Claims!P:P),"")</f>
        <v/>
      </c>
    </row>
    <row r="3">
      <c r="A3" t="inlineStr">
        <is>
          <t>Class</t>
        </is>
      </c>
      <c r="B3" t="inlineStr">
        <is>
          <t>Predicted</t>
        </is>
      </c>
      <c r="C3" t="inlineStr">
        <is>
          <t>Gold</t>
        </is>
      </c>
      <c r="D3" t="inlineStr">
        <is>
          <t>TP</t>
        </is>
      </c>
      <c r="E3" t="inlineStr">
        <is>
          <t>Precision</t>
        </is>
      </c>
      <c r="F3" t="inlineStr">
        <is>
          <t>Recall</t>
        </is>
      </c>
    </row>
    <row r="4">
      <c r="A4" t="inlineStr">
        <is>
          <t>TRUE</t>
        </is>
      </c>
      <c r="B4">
        <f>SUMPRODUCT((Claims!$F$2:$F$500&amp;""=A4)*(Claims!$O$2:$O$500&amp;""&lt;&gt;""))</f>
        <v/>
      </c>
      <c r="C4">
        <f>SUMPRODUCT(--(Claims!$O$2:$O$500&amp;""=A4))</f>
        <v/>
      </c>
      <c r="D4">
        <f>SUMPRODUCT((Claims!$F$2:$F$500&amp;""=A4)*(Claims!$O$2:$O$500&amp;""=A4))</f>
        <v/>
      </c>
      <c r="E4">
        <f>IFERROR(D4/B4,"")</f>
        <v/>
      </c>
      <c r="F4">
        <f>IFERROR(D4/C4,"")</f>
        <v/>
      </c>
    </row>
    <row r="5">
      <c r="A5" t="inlineStr">
        <is>
          <t>FALSE</t>
        </is>
      </c>
      <c r="B5">
        <f>SUMPRODUCT((Claims!$F$2:$F$500&amp;""=A5)*(Claims!$O$2:$O$500&amp;""&lt;&gt;""))</f>
        <v/>
      </c>
      <c r="C5">
        <f>SUMPRODUCT(--(Claims!$O$2:$O$500&amp;""=A5))</f>
        <v/>
      </c>
      <c r="D5">
        <f>SUMPRODUCT((Claims!$F$2:$F$500&amp;""=A5)*(Claims!$O$2:$O$500&amp;""=A5))</f>
        <v/>
      </c>
      <c r="E5">
        <f>IFERROR(D5/B5,"")</f>
        <v/>
      </c>
      <c r="F5">
        <f>IFERROR(D5/C5,"")</f>
        <v/>
      </c>
    </row>
    <row r="6">
      <c r="A6" t="inlineStr">
        <is>
          <t>UNVERIFIABLE</t>
        </is>
      </c>
      <c r="B6">
        <f>SUMPRODUCT((Claims!$F$2:$F$500&amp;""=A6)*(Claims!$O$2:$O$500&amp;""&lt;&gt;""))</f>
        <v/>
      </c>
      <c r="C6">
        <f>SUMPRODUCT(--(Claims!$O$2:$O$500&amp;""=A6))</f>
        <v/>
      </c>
      <c r="D6">
        <f>SUMPRODUCT((Claims!$F$2:$F$500&amp;""=A6)*(Claims!$O$2:$O$500&amp;""=A6))</f>
        <v/>
      </c>
      <c r="E6">
        <f>IFERROR(D6/B6,"")</f>
        <v/>
      </c>
      <c r="F6">
        <f>IFERROR(D6/C6,"")</f>
        <v/>
      </c>
    </row>
    <row r="8">
      <c r="A8" t="inlineStr">
        <is>
          <t>Mean confidence</t>
        </is>
      </c>
      <c r="B8" t="inlineStr">
        <is>
          <t>With NLI</t>
        </is>
      </c>
      <c r="C8" t="inlineStr">
        <is>
          <t>Without NLI</t>
        </is>
      </c>
    </row>
    <row r="9">
      <c r="A9" t="inlineStr">
        <is>
          <t>Correct verdicts</t>
        </is>
      </c>
      <c r="B9">
        <f>IFERROR(AVERAGEIFS(Claims!G:G,Claims!P:P,1),"")</f>
        <v/>
      </c>
      <c r="C9">
        <f>IFERROR(AVERAGEIFS(Claims!H:H,Claims!P:P,1),"")</f>
        <v/>
      </c>
    </row>
    <row r="10">
      <c r="A10" t="inlineStr">
        <is>
          <t>Incorrect verdicts</t>
        </is>
      </c>
      <c r="B10">
        <f>IFERROR(AVERAGEIFS(Claims!G:G,Claims!P:P,0),"")</f>
        <v/>
      </c>
      <c r="C10">
        <f>IFERROR(AVERAGEIFS(Claims!H:H,Claims!P:P,0),"")</f>
        <v/>
      </c>
    </row>
    <row r="11">
      <c r="A11" t="inlineStr">
        <is>
          <t>Gap (correct - incorrect)</t>
        </is>
      </c>
      <c r="B11">
        <f>IFERROR(B9-B10,"")</f>
        <v/>
      </c>
      <c r="C11">
        <f>IFERROR(C9-C10,"")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2026-10-24T11:17:40Z</dcterms:created>
  <dcterms:modified xsi:type="dcterms:W3CDTF">2026-10-24T11:17:40Z</dcterms:modified>
</cp:coreProperties>
</file>